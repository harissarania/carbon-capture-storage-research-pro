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274FD80-B4FF-4997-92EB-16230BAD47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dget Summary" sheetId="1" r:id="rId1"/>
    <sheet name="Detailed Budget" sheetId="2" r:id="rId2"/>
    <sheet name="Monthly Cash Flow" sheetId="3" r:id="rId3"/>
    <sheet name="Budget Track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4" l="1"/>
  <c r="C11" i="4"/>
  <c r="F10" i="4"/>
  <c r="G10" i="4" s="1"/>
  <c r="E10" i="4"/>
  <c r="F9" i="4"/>
  <c r="G9" i="4" s="1"/>
  <c r="E9" i="4"/>
  <c r="F8" i="4"/>
  <c r="G8" i="4" s="1"/>
  <c r="E8" i="4"/>
  <c r="F7" i="4"/>
  <c r="G7" i="4" s="1"/>
  <c r="E7" i="4"/>
  <c r="F6" i="4"/>
  <c r="G6" i="4" s="1"/>
  <c r="E6" i="4"/>
  <c r="F5" i="4"/>
  <c r="G5" i="4" s="1"/>
  <c r="E5" i="4"/>
  <c r="E11" i="4" s="1"/>
  <c r="F11" i="4" s="1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T10" i="3" s="1"/>
  <c r="C10" i="3"/>
  <c r="B10" i="3"/>
  <c r="B11" i="3" s="1"/>
  <c r="C11" i="3" s="1"/>
  <c r="D11" i="3" s="1"/>
  <c r="E11" i="3" s="1"/>
  <c r="F11" i="3" s="1"/>
  <c r="G11" i="3" s="1"/>
  <c r="H11" i="3" s="1"/>
  <c r="I11" i="3" s="1"/>
  <c r="J11" i="3" s="1"/>
  <c r="K11" i="3" s="1"/>
  <c r="L11" i="3" s="1"/>
  <c r="M11" i="3" s="1"/>
  <c r="N11" i="3" s="1"/>
  <c r="O11" i="3" s="1"/>
  <c r="P11" i="3" s="1"/>
  <c r="Q11" i="3" s="1"/>
  <c r="R11" i="3" s="1"/>
  <c r="S11" i="3" s="1"/>
  <c r="T9" i="3"/>
  <c r="T8" i="3"/>
  <c r="T7" i="3"/>
  <c r="T6" i="3"/>
  <c r="T5" i="3"/>
  <c r="T4" i="3"/>
  <c r="F45" i="2"/>
  <c r="F44" i="2"/>
  <c r="F43" i="2"/>
  <c r="F42" i="2"/>
  <c r="F39" i="2"/>
  <c r="F38" i="2"/>
  <c r="F37" i="2"/>
  <c r="F36" i="2"/>
  <c r="F33" i="2"/>
  <c r="F32" i="2"/>
  <c r="F31" i="2"/>
  <c r="F30" i="2"/>
  <c r="F27" i="2"/>
  <c r="F26" i="2"/>
  <c r="F25" i="2"/>
  <c r="F24" i="2"/>
  <c r="F23" i="2"/>
  <c r="F22" i="2"/>
  <c r="F21" i="2"/>
  <c r="F18" i="2"/>
  <c r="F17" i="2"/>
  <c r="F16" i="2"/>
  <c r="F15" i="2"/>
  <c r="F14" i="2"/>
  <c r="F13" i="2"/>
  <c r="F10" i="2"/>
  <c r="F9" i="2"/>
  <c r="F8" i="2"/>
  <c r="F7" i="2"/>
  <c r="F6" i="2"/>
  <c r="B13" i="1"/>
  <c r="B11" i="1"/>
  <c r="F10" i="1"/>
  <c r="C10" i="1"/>
  <c r="F9" i="1"/>
  <c r="C9" i="1"/>
  <c r="E8" i="1"/>
  <c r="C8" i="1"/>
  <c r="F7" i="1"/>
  <c r="C7" i="1"/>
  <c r="E6" i="1"/>
  <c r="C6" i="1"/>
  <c r="D5" i="1"/>
  <c r="C5" i="1"/>
</calcChain>
</file>

<file path=xl/sharedStrings.xml><?xml version="1.0" encoding="utf-8"?>
<sst xmlns="http://schemas.openxmlformats.org/spreadsheetml/2006/main" count="336" uniqueCount="223">
  <si>
    <t>CCS Research Initiative — Budget Summary</t>
  </si>
  <si>
    <t>Phase / Work Area</t>
  </si>
  <si>
    <t>% of Total</t>
  </si>
  <si>
    <t>Notes</t>
  </si>
  <si>
    <t>1.0  Initiation &amp; Planning</t>
  </si>
  <si>
    <t>Charter, lit review, regulatory mapping, vendor selection</t>
  </si>
  <si>
    <t>2.0  Phase 1 — Bench-Scale R&amp;D</t>
  </si>
  <si>
    <t>Sorbent screening, bench experiments, Phase 1 report</t>
  </si>
  <si>
    <t>3.0  Phase 2 — Pilot Plant</t>
  </si>
  <si>
    <t>Design, procurement, construction, commissioning, testing</t>
  </si>
  <si>
    <t>4.0  Geological Storage Survey</t>
  </si>
  <si>
    <t>Seismic survey, core analysis, storage capacity model</t>
  </si>
  <si>
    <t>5.0  HSE &amp; Compliance</t>
  </si>
  <si>
    <t>HAZOP, EIA submission, safety audit, regulatory liaison</t>
  </si>
  <si>
    <t>6.0  Reporting &amp; Closeout</t>
  </si>
  <si>
    <t>Final feasibility report, economic model, go/no-go pack</t>
  </si>
  <si>
    <t>Contingency Reserve (10%)</t>
  </si>
  <si>
    <t>Sub-total (excl. contingency)</t>
  </si>
  <si>
    <t>TOTAL PROJECT BUDGET</t>
  </si>
  <si>
    <t>KEY ASSUMPTIONS</t>
  </si>
  <si>
    <t xml:space="preserve">  •  All personnel costs based on fully-loaded day rates (including overhead)</t>
  </si>
  <si>
    <t xml:space="preserve">  •  Equipment procurement assumes fixed-price contracts; 10% contingency held separately</t>
  </si>
  <si>
    <t xml:space="preserve">  •  Geological survey costs based on 3D seismic acquisition + 2 appraisal wells</t>
  </si>
  <si>
    <t xml:space="preserve">  •  Pilot plant CAPEX assumes modular pre-fabricated unit; no civil works included</t>
  </si>
  <si>
    <t xml:space="preserve">  •  Budget in USD; no forex adjustment assumed (all vendors in same currency)</t>
  </si>
  <si>
    <t>CCS Research Initiative — Detailed Budget Breakdown</t>
  </si>
  <si>
    <t>Blue text = hardcoded input   |   Black text = formula   |   Adjust blue cells only</t>
  </si>
  <si>
    <t>WP Code</t>
  </si>
  <si>
    <t>Description</t>
  </si>
  <si>
    <t>Cost Type</t>
  </si>
  <si>
    <t>Units</t>
  </si>
  <si>
    <t>Month</t>
  </si>
  <si>
    <t>PHASE 1 — INITIATION &amp; PLANNING</t>
  </si>
  <si>
    <t>WP 1.1</t>
  </si>
  <si>
    <t>Project charter &amp; scope document</t>
  </si>
  <si>
    <t>Labour</t>
  </si>
  <si>
    <t>1–2</t>
  </si>
  <si>
    <t>PM + team leads</t>
  </si>
  <si>
    <t>WP 1.2</t>
  </si>
  <si>
    <t>Literature review — CCS technologies</t>
  </si>
  <si>
    <t>R&amp;D Lead</t>
  </si>
  <si>
    <t>WP 1.3</t>
  </si>
  <si>
    <t>Regulatory mapping &amp; permits</t>
  </si>
  <si>
    <t>Professional</t>
  </si>
  <si>
    <t>Legal/regulatory consultant</t>
  </si>
  <si>
    <t>WP 1.4</t>
  </si>
  <si>
    <t>Vendor &amp; partner selection</t>
  </si>
  <si>
    <t>PM + procurement</t>
  </si>
  <si>
    <t>WP 1.5</t>
  </si>
  <si>
    <t>Risk register v1 workshop</t>
  </si>
  <si>
    <t>2</t>
  </si>
  <si>
    <t>PM + team</t>
  </si>
  <si>
    <t>Phase 1 Sub-total</t>
  </si>
  <si>
    <t>PHASE 2 — BENCH-SCALE R&amp;D</t>
  </si>
  <si>
    <t>WP 2.1</t>
  </si>
  <si>
    <t>Sorbent screening (MEA, MDEA, MOFs)</t>
  </si>
  <si>
    <t>Lab Materials</t>
  </si>
  <si>
    <t>3–5</t>
  </si>
  <si>
    <t>Reagents, analytical supplies</t>
  </si>
  <si>
    <t>WP 2.2</t>
  </si>
  <si>
    <t>Bench-scale absorption column setup</t>
  </si>
  <si>
    <t>Equipment</t>
  </si>
  <si>
    <t>3–4</t>
  </si>
  <si>
    <t>Column, pumps, sensors, fittings</t>
  </si>
  <si>
    <t>WP 2.3</t>
  </si>
  <si>
    <t>CO₂ capture experiments</t>
  </si>
  <si>
    <t>4–7</t>
  </si>
  <si>
    <t>R&amp;D Lead + 2 researchers</t>
  </si>
  <si>
    <t>WP 2.4</t>
  </si>
  <si>
    <t>Sorbent regeneration testing</t>
  </si>
  <si>
    <t>5–7</t>
  </si>
  <si>
    <t>R&amp;D Lead + Process Eng.</t>
  </si>
  <si>
    <t>WP 2.5</t>
  </si>
  <si>
    <t>Analytical equipment (GC, FTIR)</t>
  </si>
  <si>
    <t>3</t>
  </si>
  <si>
    <t>CO₂ purity analysis instruments</t>
  </si>
  <si>
    <t>WP 2.6</t>
  </si>
  <si>
    <t>Phase 1 gate report &amp; review</t>
  </si>
  <si>
    <t>8</t>
  </si>
  <si>
    <t>PM + R&amp;D Lead</t>
  </si>
  <si>
    <t>Phase 2 Sub-total</t>
  </si>
  <si>
    <t>PHASE 3 — PILOT PLANT SCALE-UP</t>
  </si>
  <si>
    <t>WP 3.1</t>
  </si>
  <si>
    <t>Pilot plant engineering design</t>
  </si>
  <si>
    <t>9–10</t>
  </si>
  <si>
    <t>EPC contractor — fixed scope</t>
  </si>
  <si>
    <t>WP 3.2</t>
  </si>
  <si>
    <t>Equipment procurement</t>
  </si>
  <si>
    <t>10–11</t>
  </si>
  <si>
    <t>Absorber, heat exchanger, compressor, tanks</t>
  </si>
  <si>
    <t>WP 3.3</t>
  </si>
  <si>
    <t>Construction &amp; civil works</t>
  </si>
  <si>
    <t>11–13</t>
  </si>
  <si>
    <t>Modular construction + site prep</t>
  </si>
  <si>
    <t>WP 3.4</t>
  </si>
  <si>
    <t>Commissioning &amp; start-up</t>
  </si>
  <si>
    <t>13–14</t>
  </si>
  <si>
    <t>Process Eng. + vendor technicians</t>
  </si>
  <si>
    <t>WP 3.5</t>
  </si>
  <si>
    <t>3-month pilot capture trial</t>
  </si>
  <si>
    <t>13–15</t>
  </si>
  <si>
    <t>Operators + data collection team</t>
  </si>
  <si>
    <t>WP 3.6</t>
  </si>
  <si>
    <t>Utilities &amp; consumables</t>
  </si>
  <si>
    <t>Operating</t>
  </si>
  <si>
    <t>Power, steam, solvent make-up</t>
  </si>
  <si>
    <t>WP 3.7</t>
  </si>
  <si>
    <t>Phase 2 gate report &amp; review</t>
  </si>
  <si>
    <t>15</t>
  </si>
  <si>
    <t>PM + core team</t>
  </si>
  <si>
    <t>Phase 3 Sub-total</t>
  </si>
  <si>
    <t>PHASE 4 — GEOLOGICAL STORAGE SURVEY</t>
  </si>
  <si>
    <t>WP 4.1</t>
  </si>
  <si>
    <t>3D seismic data acquisition</t>
  </si>
  <si>
    <t>6–9</t>
  </si>
  <si>
    <t>Geophysical survey contractor</t>
  </si>
  <si>
    <t>WP 4.2</t>
  </si>
  <si>
    <t>Core sampling &amp; well analysis</t>
  </si>
  <si>
    <t>9–11</t>
  </si>
  <si>
    <t>Laboratory petrophysical analysis</t>
  </si>
  <si>
    <t>WP 4.3</t>
  </si>
  <si>
    <t>CO₂ plume migration simulation</t>
  </si>
  <si>
    <t>Software/Lab</t>
  </si>
  <si>
    <t>Reservoir simulator license + runs</t>
  </si>
  <si>
    <t>WP 4.4</t>
  </si>
  <si>
    <t>Storage feasibility report</t>
  </si>
  <si>
    <t>14</t>
  </si>
  <si>
    <t>Geoscience Eng. + PM</t>
  </si>
  <si>
    <t>Phase 4 Sub-total</t>
  </si>
  <si>
    <t>PHASE 5 — HSE &amp; COMPLIANCE</t>
  </si>
  <si>
    <t>WP 5.1</t>
  </si>
  <si>
    <t>HAZOP study (pre-commissioning)</t>
  </si>
  <si>
    <t>12</t>
  </si>
  <si>
    <t>HAZOP facilitator + core team</t>
  </si>
  <si>
    <t>WP 5.2</t>
  </si>
  <si>
    <t>Environmental Impact Assessment</t>
  </si>
  <si>
    <t>12–15</t>
  </si>
  <si>
    <t>EIA consultant</t>
  </si>
  <si>
    <t>WP 5.3</t>
  </si>
  <si>
    <t>HSE audit &amp; safety inspection</t>
  </si>
  <si>
    <t>14–16</t>
  </si>
  <si>
    <t>HSE Officer + external auditor</t>
  </si>
  <si>
    <t>WP 5.4</t>
  </si>
  <si>
    <t>Regulatory compliance reporting</t>
  </si>
  <si>
    <t>15–16</t>
  </si>
  <si>
    <t>PM + Legal</t>
  </si>
  <si>
    <t>Phase 5 Sub-total</t>
  </si>
  <si>
    <t>PHASE 6 — REPORTING &amp; CLOSEOUT</t>
  </si>
  <si>
    <t>WP 6.1</t>
  </si>
  <si>
    <t>Economic model &amp; cost analysis</t>
  </si>
  <si>
    <t>16–17</t>
  </si>
  <si>
    <t>PM + financial analyst</t>
  </si>
  <si>
    <t>WP 6.2</t>
  </si>
  <si>
    <t>Final CCS feasibility report</t>
  </si>
  <si>
    <t>17–18</t>
  </si>
  <si>
    <t>PM + all leads</t>
  </si>
  <si>
    <t>WP 6.3</t>
  </si>
  <si>
    <t>Go/no-go stakeholder presentation</t>
  </si>
  <si>
    <t>18</t>
  </si>
  <si>
    <t>PM + Sponsor</t>
  </si>
  <si>
    <t>WP 6.4</t>
  </si>
  <si>
    <t>Project closeout &amp; archiving</t>
  </si>
  <si>
    <t>PM</t>
  </si>
  <si>
    <t>Phase 6 Sub-total</t>
  </si>
  <si>
    <t>TOTAL (excl. contingency)</t>
  </si>
  <si>
    <t>=</t>
  </si>
  <si>
    <t>Phase / Cost Category</t>
  </si>
  <si>
    <t>Mo 1</t>
  </si>
  <si>
    <t>Mo 2</t>
  </si>
  <si>
    <t>Mo 3</t>
  </si>
  <si>
    <t>Mo 4</t>
  </si>
  <si>
    <t>Mo 5</t>
  </si>
  <si>
    <t>Mo 6</t>
  </si>
  <si>
    <t>Mo 7</t>
  </si>
  <si>
    <t>Mo 8</t>
  </si>
  <si>
    <t>Mo 9</t>
  </si>
  <si>
    <t>Mo 10</t>
  </si>
  <si>
    <t>Mo 11</t>
  </si>
  <si>
    <t>Mo 12</t>
  </si>
  <si>
    <t>Mo 13</t>
  </si>
  <si>
    <t>Mo 14</t>
  </si>
  <si>
    <t>Mo 15</t>
  </si>
  <si>
    <t>Mo 16</t>
  </si>
  <si>
    <t>Mo 17</t>
  </si>
  <si>
    <t>Mo 18</t>
  </si>
  <si>
    <t>Total</t>
  </si>
  <si>
    <t>Initiation &amp; Planning</t>
  </si>
  <si>
    <t>-</t>
  </si>
  <si>
    <t>Phase 1 — Bench R&amp;D</t>
  </si>
  <si>
    <t>Phase 2 — Pilot Plant</t>
  </si>
  <si>
    <t>Geological Survey</t>
  </si>
  <si>
    <t>HSE &amp; Compliance</t>
  </si>
  <si>
    <t>Reporting &amp; Closeout</t>
  </si>
  <si>
    <t>CCS Research Initiative — Budget Tracker (Monthly Update)</t>
  </si>
  <si>
    <t>Work Package</t>
  </si>
  <si>
    <t>Var %</t>
  </si>
  <si>
    <t>Status</t>
  </si>
  <si>
    <t>WP 1.1–1.5</t>
  </si>
  <si>
    <t>WP 2.1–2.6</t>
  </si>
  <si>
    <t>Phase 1 — Bench-Scale R&amp;D</t>
  </si>
  <si>
    <t>WP 3.1–3.7</t>
  </si>
  <si>
    <t>Phase 2 — Pilot Plant Scale-Up</t>
  </si>
  <si>
    <t>WP 4.1–4.4</t>
  </si>
  <si>
    <t>Geological Storage Survey</t>
  </si>
  <si>
    <t>WP 5.1–5.4</t>
  </si>
  <si>
    <t>WP 6.1–6.4</t>
  </si>
  <si>
    <t>TOTAL</t>
  </si>
  <si>
    <t>All Work Packages</t>
  </si>
  <si>
    <t>Budget (RM)</t>
  </si>
  <si>
    <t>Q1 (RM)</t>
  </si>
  <si>
    <t>Q2 (RM)</t>
  </si>
  <si>
    <t>Q3 (RM)</t>
  </si>
  <si>
    <t>Project Duration: 18 months  |  Total Budget: RM 2,400,000  |  Version: 1.0  |  Jan 2025</t>
  </si>
  <si>
    <t xml:space="preserve">  •  Regulatory permit fees (~RM15,000) included under Phase 1 Planning budget</t>
  </si>
  <si>
    <t>Unit Cost (RM)</t>
  </si>
  <si>
    <t>Total (RM)</t>
  </si>
  <si>
    <t>Monthly Total Spend (RM)</t>
  </si>
  <si>
    <t>Cumulative Spend (RM)</t>
  </si>
  <si>
    <t>CCS Research Initiative — Monthly Cash Flow Forecast (RM)</t>
  </si>
  <si>
    <t>Update the 'Actual Spend (RM)' column each month. All variance calculations are automatic.</t>
  </si>
  <si>
    <t>Planned Budget (RM)</t>
  </si>
  <si>
    <t>Actual Spend (RM)</t>
  </si>
  <si>
    <t>Variance (RM)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</si>
</sst>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_-[$RM-4409]* #,##0.00_-;\-[$RM-4409]* #,##0.00_-;_-[$RM-4409]* &quot;-&quot;??_-;_-@_-"/>
  </numFmts>
  <fonts count="19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7F6000"/>
      <name val="Arial"/>
      <family val="2"/>
    </font>
    <font>
      <b/>
      <sz val="10"/>
      <color rgb="FF1F4E79"/>
      <name val="Arial"/>
      <family val="2"/>
    </font>
    <font>
      <b/>
      <sz val="11"/>
      <color rgb="FFFFFFFF"/>
      <name val="Arial"/>
      <family val="2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sz val="10"/>
      <color rgb="FF0000FF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CC"/>
      <name val="Arial"/>
      <family val="2"/>
    </font>
    <font>
      <b/>
      <sz val="9"/>
      <color rgb="FF1F4E79"/>
      <name val="Arial"/>
      <family val="2"/>
    </font>
    <font>
      <i/>
      <sz val="10"/>
      <color rgb="FF1F4E79"/>
      <name val="Arial"/>
      <family val="2"/>
    </font>
    <font>
      <sz val="9"/>
      <color rgb="FF1F4E79"/>
      <name val="Arial"/>
      <family val="2"/>
    </font>
    <font>
      <sz val="10"/>
      <color rgb="FF59595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0" fillId="5" borderId="0" xfId="0" applyFill="1"/>
    <xf numFmtId="0" fontId="7" fillId="3" borderId="1" xfId="0" applyFont="1" applyFill="1" applyBorder="1" applyAlignment="1">
      <alignment horizontal="left" vertical="center"/>
    </xf>
    <xf numFmtId="0" fontId="0" fillId="3" borderId="1" xfId="0" applyFill="1" applyBorder="1"/>
    <xf numFmtId="164" fontId="8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3" fillId="2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3" fontId="11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3" fontId="11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166" fontId="5" fillId="4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166" fontId="6" fillId="6" borderId="1" xfId="0" applyNumberFormat="1" applyFont="1" applyFill="1" applyBorder="1" applyAlignment="1">
      <alignment horizontal="right" vertical="center"/>
    </xf>
    <xf numFmtId="166" fontId="0" fillId="5" borderId="0" xfId="0" applyNumberFormat="1" applyFill="1"/>
    <xf numFmtId="166" fontId="7" fillId="3" borderId="1" xfId="0" applyNumberFormat="1" applyFont="1" applyFill="1" applyBorder="1" applyAlignment="1">
      <alignment horizontal="right" vertical="center"/>
    </xf>
    <xf numFmtId="166" fontId="8" fillId="2" borderId="1" xfId="0" applyNumberFormat="1" applyFont="1" applyFill="1" applyBorder="1" applyAlignment="1">
      <alignment horizontal="right" vertical="center"/>
    </xf>
    <xf numFmtId="166" fontId="11" fillId="4" borderId="1" xfId="0" applyNumberFormat="1" applyFont="1" applyFill="1" applyBorder="1" applyAlignment="1">
      <alignment horizontal="right" vertical="center"/>
    </xf>
    <xf numFmtId="166" fontId="11" fillId="5" borderId="1" xfId="0" applyNumberFormat="1" applyFont="1" applyFill="1" applyBorder="1" applyAlignment="1">
      <alignment horizontal="right" vertical="center"/>
    </xf>
    <xf numFmtId="166" fontId="14" fillId="4" borderId="1" xfId="0" applyNumberFormat="1" applyFont="1" applyFill="1" applyBorder="1" applyAlignment="1">
      <alignment horizontal="right" vertical="center"/>
    </xf>
    <xf numFmtId="166" fontId="2" fillId="4" borderId="1" xfId="0" applyNumberFormat="1" applyFont="1" applyFill="1" applyBorder="1" applyAlignment="1">
      <alignment horizontal="right" vertical="center"/>
    </xf>
    <xf numFmtId="166" fontId="15" fillId="3" borderId="1" xfId="0" applyNumberFormat="1" applyFont="1" applyFill="1" applyBorder="1" applyAlignment="1">
      <alignment horizontal="right" vertical="center"/>
    </xf>
    <xf numFmtId="166" fontId="2" fillId="5" borderId="1" xfId="0" applyNumberFormat="1" applyFont="1" applyFill="1" applyBorder="1" applyAlignment="1">
      <alignment horizontal="right" vertical="center"/>
    </xf>
    <xf numFmtId="166" fontId="14" fillId="5" borderId="1" xfId="0" applyNumberFormat="1" applyFont="1" applyFill="1" applyBorder="1" applyAlignment="1">
      <alignment horizontal="right" vertical="center"/>
    </xf>
    <xf numFmtId="166" fontId="13" fillId="7" borderId="1" xfId="0" applyNumberFormat="1" applyFont="1" applyFill="1" applyBorder="1" applyAlignment="1">
      <alignment horizontal="right" vertical="center"/>
    </xf>
    <xf numFmtId="166" fontId="13" fillId="2" borderId="1" xfId="0" applyNumberFormat="1" applyFont="1" applyFill="1" applyBorder="1" applyAlignment="1">
      <alignment horizontal="right" vertical="center"/>
    </xf>
    <xf numFmtId="166" fontId="17" fillId="4" borderId="1" xfId="0" applyNumberFormat="1" applyFont="1" applyFill="1" applyBorder="1" applyAlignment="1">
      <alignment horizontal="right" vertical="center"/>
    </xf>
    <xf numFmtId="166" fontId="0" fillId="4" borderId="1" xfId="0" applyNumberFormat="1" applyFill="1" applyBorder="1"/>
    <xf numFmtId="166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tabSelected="1" workbookViewId="0">
      <selection activeCell="J7" sqref="J7"/>
    </sheetView>
  </sheetViews>
  <sheetFormatPr defaultRowHeight="14.4" x14ac:dyDescent="0.3"/>
  <cols>
    <col min="1" max="1" width="32" customWidth="1"/>
    <col min="2" max="2" width="17.33203125" bestFit="1" customWidth="1"/>
    <col min="3" max="6" width="14" customWidth="1"/>
    <col min="7" max="7" width="18" customWidth="1"/>
  </cols>
  <sheetData>
    <row r="1" spans="1:7" ht="21" x14ac:dyDescent="0.3">
      <c r="A1" s="33" t="s">
        <v>0</v>
      </c>
      <c r="B1" s="32"/>
      <c r="C1" s="32"/>
      <c r="D1" s="32"/>
      <c r="E1" s="32"/>
      <c r="F1" s="32"/>
      <c r="G1" s="32"/>
    </row>
    <row r="2" spans="1:7" x14ac:dyDescent="0.3">
      <c r="A2" s="35" t="s">
        <v>212</v>
      </c>
      <c r="B2" s="32"/>
      <c r="C2" s="32"/>
      <c r="D2" s="32"/>
      <c r="E2" s="32"/>
      <c r="F2" s="32"/>
      <c r="G2" s="32"/>
    </row>
    <row r="4" spans="1:7" x14ac:dyDescent="0.3">
      <c r="A4" s="1" t="s">
        <v>1</v>
      </c>
      <c r="B4" s="1" t="s">
        <v>208</v>
      </c>
      <c r="C4" s="1" t="s">
        <v>2</v>
      </c>
      <c r="D4" s="1" t="s">
        <v>209</v>
      </c>
      <c r="E4" s="1" t="s">
        <v>210</v>
      </c>
      <c r="F4" s="1" t="s">
        <v>211</v>
      </c>
      <c r="G4" s="1" t="s">
        <v>3</v>
      </c>
    </row>
    <row r="5" spans="1:7" ht="39.6" x14ac:dyDescent="0.3">
      <c r="A5" s="2" t="s">
        <v>4</v>
      </c>
      <c r="B5" s="43">
        <v>120000</v>
      </c>
      <c r="C5" s="3">
        <f>B5/B14</f>
        <v>0.05</v>
      </c>
      <c r="D5" s="43">
        <f>B5</f>
        <v>120000</v>
      </c>
      <c r="E5" s="43">
        <v>0</v>
      </c>
      <c r="F5" s="43">
        <v>0</v>
      </c>
      <c r="G5" s="4" t="s">
        <v>5</v>
      </c>
    </row>
    <row r="6" spans="1:7" ht="39.6" x14ac:dyDescent="0.3">
      <c r="A6" s="5" t="s">
        <v>6</v>
      </c>
      <c r="B6" s="44">
        <v>480000</v>
      </c>
      <c r="C6" s="6">
        <f>B6/B14</f>
        <v>0.2</v>
      </c>
      <c r="D6" s="44">
        <v>120000</v>
      </c>
      <c r="E6" s="44">
        <f>D6</f>
        <v>120000</v>
      </c>
      <c r="F6" s="44">
        <v>240000</v>
      </c>
      <c r="G6" s="7" t="s">
        <v>7</v>
      </c>
    </row>
    <row r="7" spans="1:7" ht="66" x14ac:dyDescent="0.3">
      <c r="A7" s="2" t="s">
        <v>8</v>
      </c>
      <c r="B7" s="43">
        <v>1100000</v>
      </c>
      <c r="C7" s="3">
        <f>B7/B14</f>
        <v>0.45833333333333331</v>
      </c>
      <c r="D7" s="43">
        <v>0</v>
      </c>
      <c r="E7" s="43">
        <v>200000</v>
      </c>
      <c r="F7" s="43">
        <f>D7*2</f>
        <v>0</v>
      </c>
      <c r="G7" s="4" t="s">
        <v>9</v>
      </c>
    </row>
    <row r="8" spans="1:7" ht="52.8" x14ac:dyDescent="0.3">
      <c r="A8" s="5" t="s">
        <v>10</v>
      </c>
      <c r="B8" s="44">
        <v>350000</v>
      </c>
      <c r="C8" s="6">
        <f>B8/B14</f>
        <v>0.14583333333333334</v>
      </c>
      <c r="D8" s="44">
        <v>0</v>
      </c>
      <c r="E8" s="44">
        <f>D8</f>
        <v>0</v>
      </c>
      <c r="F8" s="44">
        <v>150000</v>
      </c>
      <c r="G8" s="7" t="s">
        <v>11</v>
      </c>
    </row>
    <row r="9" spans="1:7" ht="52.8" x14ac:dyDescent="0.3">
      <c r="A9" s="2" t="s">
        <v>12</v>
      </c>
      <c r="B9" s="43">
        <v>150000</v>
      </c>
      <c r="C9" s="3">
        <f>B9/B14</f>
        <v>6.25E-2</v>
      </c>
      <c r="D9" s="43">
        <v>0</v>
      </c>
      <c r="E9" s="43">
        <v>50000</v>
      </c>
      <c r="F9" s="43">
        <f>D9</f>
        <v>0</v>
      </c>
      <c r="G9" s="4" t="s">
        <v>13</v>
      </c>
    </row>
    <row r="10" spans="1:7" ht="52.8" x14ac:dyDescent="0.3">
      <c r="A10" s="5" t="s">
        <v>14</v>
      </c>
      <c r="B10" s="44">
        <v>200000</v>
      </c>
      <c r="C10" s="6">
        <f>B10/B14</f>
        <v>8.3333333333333329E-2</v>
      </c>
      <c r="D10" s="44">
        <v>0</v>
      </c>
      <c r="E10" s="44">
        <v>0</v>
      </c>
      <c r="F10" s="44">
        <f>B10</f>
        <v>200000</v>
      </c>
      <c r="G10" s="7" t="s">
        <v>15</v>
      </c>
    </row>
    <row r="11" spans="1:7" x14ac:dyDescent="0.3">
      <c r="A11" s="8" t="s">
        <v>16</v>
      </c>
      <c r="B11" s="45">
        <f>B14*0.1</f>
        <v>240000</v>
      </c>
      <c r="C11" s="9"/>
      <c r="D11" s="9"/>
      <c r="E11" s="9"/>
      <c r="F11" s="9"/>
      <c r="G11" s="9"/>
    </row>
    <row r="12" spans="1:7" x14ac:dyDescent="0.3">
      <c r="A12" s="10"/>
      <c r="B12" s="46"/>
      <c r="C12" s="10"/>
      <c r="D12" s="10"/>
      <c r="E12" s="10"/>
      <c r="F12" s="10"/>
      <c r="G12" s="10"/>
    </row>
    <row r="13" spans="1:7" x14ac:dyDescent="0.3">
      <c r="A13" s="11" t="s">
        <v>17</v>
      </c>
      <c r="B13" s="47">
        <f>SUM(B5:B10)</f>
        <v>2400000</v>
      </c>
      <c r="C13" s="12"/>
      <c r="D13" s="12"/>
      <c r="E13" s="12"/>
      <c r="F13" s="12"/>
      <c r="G13" s="12"/>
    </row>
    <row r="14" spans="1:7" x14ac:dyDescent="0.3">
      <c r="A14" s="37" t="s">
        <v>18</v>
      </c>
      <c r="B14" s="48">
        <v>2400000</v>
      </c>
      <c r="C14" s="14"/>
      <c r="D14" s="14"/>
      <c r="E14" s="14"/>
      <c r="F14" s="14"/>
      <c r="G14" s="14"/>
    </row>
    <row r="16" spans="1:7" x14ac:dyDescent="0.3">
      <c r="A16" s="36" t="s">
        <v>19</v>
      </c>
      <c r="B16" s="32"/>
      <c r="C16" s="32"/>
      <c r="D16" s="32"/>
      <c r="E16" s="32"/>
      <c r="F16" s="32"/>
      <c r="G16" s="32"/>
    </row>
    <row r="17" spans="1:7" x14ac:dyDescent="0.3">
      <c r="A17" s="31" t="s">
        <v>20</v>
      </c>
      <c r="B17" s="32"/>
      <c r="C17" s="32"/>
      <c r="D17" s="32"/>
      <c r="E17" s="32"/>
      <c r="F17" s="32"/>
      <c r="G17" s="32"/>
    </row>
    <row r="18" spans="1:7" x14ac:dyDescent="0.3">
      <c r="A18" s="34" t="s">
        <v>21</v>
      </c>
      <c r="B18" s="32"/>
      <c r="C18" s="32"/>
      <c r="D18" s="32"/>
      <c r="E18" s="32"/>
      <c r="F18" s="32"/>
      <c r="G18" s="32"/>
    </row>
    <row r="19" spans="1:7" x14ac:dyDescent="0.3">
      <c r="A19" s="31" t="s">
        <v>22</v>
      </c>
      <c r="B19" s="32"/>
      <c r="C19" s="32"/>
      <c r="D19" s="32"/>
      <c r="E19" s="32"/>
      <c r="F19" s="32"/>
      <c r="G19" s="32"/>
    </row>
    <row r="20" spans="1:7" x14ac:dyDescent="0.3">
      <c r="A20" s="34" t="s">
        <v>23</v>
      </c>
      <c r="B20" s="32"/>
      <c r="C20" s="32"/>
      <c r="D20" s="32"/>
      <c r="E20" s="32"/>
      <c r="F20" s="32"/>
      <c r="G20" s="32"/>
    </row>
    <row r="21" spans="1:7" x14ac:dyDescent="0.3">
      <c r="A21" s="31" t="s">
        <v>213</v>
      </c>
      <c r="B21" s="32"/>
      <c r="C21" s="32"/>
      <c r="D21" s="32"/>
      <c r="E21" s="32"/>
      <c r="F21" s="32"/>
      <c r="G21" s="32"/>
    </row>
    <row r="22" spans="1:7" x14ac:dyDescent="0.3">
      <c r="A22" s="34" t="s">
        <v>24</v>
      </c>
      <c r="B22" s="32"/>
      <c r="C22" s="32"/>
      <c r="D22" s="32"/>
      <c r="E22" s="32"/>
      <c r="F22" s="32"/>
      <c r="G22" s="32"/>
    </row>
  </sheetData>
  <mergeCells count="10">
    <mergeCell ref="A22:G22"/>
    <mergeCell ref="A20:G20"/>
    <mergeCell ref="A2:G2"/>
    <mergeCell ref="A16:G16"/>
    <mergeCell ref="A14"/>
    <mergeCell ref="A19:G19"/>
    <mergeCell ref="A1:G1"/>
    <mergeCell ref="A17:G17"/>
    <mergeCell ref="A18:G18"/>
    <mergeCell ref="A21:G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showGridLines="0" workbookViewId="0">
      <selection activeCell="J42" sqref="J42"/>
    </sheetView>
  </sheetViews>
  <sheetFormatPr defaultRowHeight="14.4" x14ac:dyDescent="0.3"/>
  <cols>
    <col min="1" max="1" width="10" customWidth="1"/>
    <col min="2" max="2" width="34" customWidth="1"/>
    <col min="3" max="3" width="16" customWidth="1"/>
    <col min="4" max="7" width="14" customWidth="1"/>
    <col min="8" max="8" width="22" customWidth="1"/>
  </cols>
  <sheetData>
    <row r="1" spans="1:8" ht="17.399999999999999" x14ac:dyDescent="0.3">
      <c r="A1" s="39" t="s">
        <v>25</v>
      </c>
      <c r="B1" s="32"/>
      <c r="C1" s="32"/>
      <c r="D1" s="32"/>
      <c r="E1" s="32"/>
      <c r="F1" s="32"/>
      <c r="G1" s="32"/>
      <c r="H1" s="32"/>
    </row>
    <row r="2" spans="1:8" x14ac:dyDescent="0.3">
      <c r="A2" s="40" t="s">
        <v>26</v>
      </c>
      <c r="B2" s="32"/>
      <c r="C2" s="32"/>
      <c r="D2" s="32"/>
      <c r="E2" s="32"/>
      <c r="F2" s="32"/>
      <c r="G2" s="32"/>
      <c r="H2" s="32"/>
    </row>
    <row r="4" spans="1:8" x14ac:dyDescent="0.3">
      <c r="A4" s="1" t="s">
        <v>27</v>
      </c>
      <c r="B4" s="1" t="s">
        <v>28</v>
      </c>
      <c r="C4" s="1" t="s">
        <v>29</v>
      </c>
      <c r="D4" s="1" t="s">
        <v>214</v>
      </c>
      <c r="E4" s="1" t="s">
        <v>30</v>
      </c>
      <c r="F4" s="1" t="s">
        <v>215</v>
      </c>
      <c r="G4" s="1" t="s">
        <v>31</v>
      </c>
      <c r="H4" s="1" t="s">
        <v>3</v>
      </c>
    </row>
    <row r="5" spans="1:8" x14ac:dyDescent="0.3">
      <c r="A5" s="38" t="s">
        <v>32</v>
      </c>
      <c r="B5" s="32"/>
      <c r="C5" s="32"/>
      <c r="D5" s="32"/>
      <c r="E5" s="32"/>
      <c r="F5" s="32"/>
      <c r="G5" s="32"/>
      <c r="H5" s="32"/>
    </row>
    <row r="6" spans="1:8" x14ac:dyDescent="0.3">
      <c r="A6" s="16" t="s">
        <v>33</v>
      </c>
      <c r="B6" s="17" t="s">
        <v>34</v>
      </c>
      <c r="C6" s="17" t="s">
        <v>35</v>
      </c>
      <c r="D6" s="49">
        <v>2500</v>
      </c>
      <c r="E6" s="18">
        <v>2</v>
      </c>
      <c r="F6" s="43">
        <f>D6*E6</f>
        <v>5000</v>
      </c>
      <c r="G6" s="19" t="s">
        <v>36</v>
      </c>
      <c r="H6" s="4" t="s">
        <v>37</v>
      </c>
    </row>
    <row r="7" spans="1:8" x14ac:dyDescent="0.3">
      <c r="A7" s="20" t="s">
        <v>38</v>
      </c>
      <c r="B7" s="21" t="s">
        <v>39</v>
      </c>
      <c r="C7" s="21" t="s">
        <v>35</v>
      </c>
      <c r="D7" s="50">
        <v>3000</v>
      </c>
      <c r="E7" s="22">
        <v>3</v>
      </c>
      <c r="F7" s="44">
        <f>D7*E7</f>
        <v>9000</v>
      </c>
      <c r="G7" s="23" t="s">
        <v>36</v>
      </c>
      <c r="H7" s="7" t="s">
        <v>40</v>
      </c>
    </row>
    <row r="8" spans="1:8" ht="26.4" x14ac:dyDescent="0.3">
      <c r="A8" s="16" t="s">
        <v>41</v>
      </c>
      <c r="B8" s="17" t="s">
        <v>42</v>
      </c>
      <c r="C8" s="17" t="s">
        <v>43</v>
      </c>
      <c r="D8" s="49">
        <v>15000</v>
      </c>
      <c r="E8" s="18">
        <v>1</v>
      </c>
      <c r="F8" s="43">
        <f>D8*E8</f>
        <v>15000</v>
      </c>
      <c r="G8" s="19" t="s">
        <v>36</v>
      </c>
      <c r="H8" s="4" t="s">
        <v>44</v>
      </c>
    </row>
    <row r="9" spans="1:8" x14ac:dyDescent="0.3">
      <c r="A9" s="20" t="s">
        <v>45</v>
      </c>
      <c r="B9" s="21" t="s">
        <v>46</v>
      </c>
      <c r="C9" s="21" t="s">
        <v>35</v>
      </c>
      <c r="D9" s="50">
        <v>2000</v>
      </c>
      <c r="E9" s="22">
        <v>3</v>
      </c>
      <c r="F9" s="44">
        <f>D9*E9</f>
        <v>6000</v>
      </c>
      <c r="G9" s="23" t="s">
        <v>36</v>
      </c>
      <c r="H9" s="7" t="s">
        <v>47</v>
      </c>
    </row>
    <row r="10" spans="1:8" x14ac:dyDescent="0.3">
      <c r="A10" s="16" t="s">
        <v>48</v>
      </c>
      <c r="B10" s="17" t="s">
        <v>49</v>
      </c>
      <c r="C10" s="17" t="s">
        <v>35</v>
      </c>
      <c r="D10" s="49">
        <v>1500</v>
      </c>
      <c r="E10" s="18">
        <v>2</v>
      </c>
      <c r="F10" s="43">
        <f>D10*E10</f>
        <v>3000</v>
      </c>
      <c r="G10" s="19" t="s">
        <v>50</v>
      </c>
      <c r="H10" s="4" t="s">
        <v>51</v>
      </c>
    </row>
    <row r="11" spans="1:8" x14ac:dyDescent="0.3">
      <c r="A11" s="41" t="s">
        <v>52</v>
      </c>
      <c r="B11" s="32"/>
      <c r="C11" s="32"/>
      <c r="D11" s="32"/>
      <c r="E11" s="32"/>
      <c r="F11" s="32"/>
      <c r="G11" s="32"/>
      <c r="H11" s="32"/>
    </row>
    <row r="12" spans="1:8" x14ac:dyDescent="0.3">
      <c r="A12" s="38" t="s">
        <v>53</v>
      </c>
      <c r="B12" s="32"/>
      <c r="C12" s="32"/>
      <c r="D12" s="32"/>
      <c r="E12" s="32"/>
      <c r="F12" s="32"/>
      <c r="G12" s="32"/>
      <c r="H12" s="32"/>
    </row>
    <row r="13" spans="1:8" ht="26.4" x14ac:dyDescent="0.3">
      <c r="A13" s="16" t="s">
        <v>54</v>
      </c>
      <c r="B13" s="17" t="s">
        <v>55</v>
      </c>
      <c r="C13" s="17" t="s">
        <v>56</v>
      </c>
      <c r="D13" s="49">
        <v>45000</v>
      </c>
      <c r="E13" s="18">
        <v>1</v>
      </c>
      <c r="F13" s="43">
        <f t="shared" ref="F13:F18" si="0">D13*E13</f>
        <v>45000</v>
      </c>
      <c r="G13" s="19" t="s">
        <v>57</v>
      </c>
      <c r="H13" s="4" t="s">
        <v>58</v>
      </c>
    </row>
    <row r="14" spans="1:8" ht="26.4" x14ac:dyDescent="0.3">
      <c r="A14" s="20" t="s">
        <v>59</v>
      </c>
      <c r="B14" s="21" t="s">
        <v>60</v>
      </c>
      <c r="C14" s="21" t="s">
        <v>61</v>
      </c>
      <c r="D14" s="50">
        <v>80000</v>
      </c>
      <c r="E14" s="22">
        <v>1</v>
      </c>
      <c r="F14" s="44">
        <f t="shared" si="0"/>
        <v>80000</v>
      </c>
      <c r="G14" s="23" t="s">
        <v>62</v>
      </c>
      <c r="H14" s="7" t="s">
        <v>63</v>
      </c>
    </row>
    <row r="15" spans="1:8" ht="26.4" x14ac:dyDescent="0.3">
      <c r="A15" s="16" t="s">
        <v>64</v>
      </c>
      <c r="B15" s="17" t="s">
        <v>65</v>
      </c>
      <c r="C15" s="17" t="s">
        <v>35</v>
      </c>
      <c r="D15" s="49">
        <v>6000</v>
      </c>
      <c r="E15" s="18">
        <v>12</v>
      </c>
      <c r="F15" s="43">
        <f t="shared" si="0"/>
        <v>72000</v>
      </c>
      <c r="G15" s="19" t="s">
        <v>66</v>
      </c>
      <c r="H15" s="4" t="s">
        <v>67</v>
      </c>
    </row>
    <row r="16" spans="1:8" ht="26.4" x14ac:dyDescent="0.3">
      <c r="A16" s="20" t="s">
        <v>68</v>
      </c>
      <c r="B16" s="21" t="s">
        <v>69</v>
      </c>
      <c r="C16" s="21" t="s">
        <v>35</v>
      </c>
      <c r="D16" s="50">
        <v>4000</v>
      </c>
      <c r="E16" s="22">
        <v>8</v>
      </c>
      <c r="F16" s="44">
        <f t="shared" si="0"/>
        <v>32000</v>
      </c>
      <c r="G16" s="23" t="s">
        <v>70</v>
      </c>
      <c r="H16" s="7" t="s">
        <v>71</v>
      </c>
    </row>
    <row r="17" spans="1:8" ht="26.4" x14ac:dyDescent="0.3">
      <c r="A17" s="16" t="s">
        <v>72</v>
      </c>
      <c r="B17" s="17" t="s">
        <v>73</v>
      </c>
      <c r="C17" s="17" t="s">
        <v>61</v>
      </c>
      <c r="D17" s="49">
        <v>60000</v>
      </c>
      <c r="E17" s="18">
        <v>1</v>
      </c>
      <c r="F17" s="43">
        <f t="shared" si="0"/>
        <v>60000</v>
      </c>
      <c r="G17" s="19" t="s">
        <v>74</v>
      </c>
      <c r="H17" s="4" t="s">
        <v>75</v>
      </c>
    </row>
    <row r="18" spans="1:8" x14ac:dyDescent="0.3">
      <c r="A18" s="20" t="s">
        <v>76</v>
      </c>
      <c r="B18" s="21" t="s">
        <v>77</v>
      </c>
      <c r="C18" s="21" t="s">
        <v>35</v>
      </c>
      <c r="D18" s="50">
        <v>3000</v>
      </c>
      <c r="E18" s="22">
        <v>3</v>
      </c>
      <c r="F18" s="44">
        <f t="shared" si="0"/>
        <v>9000</v>
      </c>
      <c r="G18" s="23" t="s">
        <v>78</v>
      </c>
      <c r="H18" s="7" t="s">
        <v>79</v>
      </c>
    </row>
    <row r="19" spans="1:8" x14ac:dyDescent="0.3">
      <c r="A19" s="41" t="s">
        <v>80</v>
      </c>
      <c r="B19" s="32"/>
      <c r="C19" s="32"/>
      <c r="D19" s="32"/>
      <c r="E19" s="32"/>
      <c r="F19" s="32"/>
      <c r="G19" s="32"/>
      <c r="H19" s="32"/>
    </row>
    <row r="20" spans="1:8" x14ac:dyDescent="0.3">
      <c r="A20" s="38" t="s">
        <v>81</v>
      </c>
      <c r="B20" s="32"/>
      <c r="C20" s="32"/>
      <c r="D20" s="32"/>
      <c r="E20" s="32"/>
      <c r="F20" s="32"/>
      <c r="G20" s="32"/>
      <c r="H20" s="32"/>
    </row>
    <row r="21" spans="1:8" ht="26.4" x14ac:dyDescent="0.3">
      <c r="A21" s="16" t="s">
        <v>82</v>
      </c>
      <c r="B21" s="17" t="s">
        <v>83</v>
      </c>
      <c r="C21" s="17" t="s">
        <v>43</v>
      </c>
      <c r="D21" s="49">
        <v>120000</v>
      </c>
      <c r="E21" s="18">
        <v>1</v>
      </c>
      <c r="F21" s="43">
        <f t="shared" ref="F21:F27" si="1">D21*E21</f>
        <v>120000</v>
      </c>
      <c r="G21" s="19" t="s">
        <v>84</v>
      </c>
      <c r="H21" s="4" t="s">
        <v>85</v>
      </c>
    </row>
    <row r="22" spans="1:8" ht="39.6" x14ac:dyDescent="0.3">
      <c r="A22" s="20" t="s">
        <v>86</v>
      </c>
      <c r="B22" s="21" t="s">
        <v>87</v>
      </c>
      <c r="C22" s="21" t="s">
        <v>61</v>
      </c>
      <c r="D22" s="50">
        <v>450000</v>
      </c>
      <c r="E22" s="22">
        <v>1</v>
      </c>
      <c r="F22" s="44">
        <f t="shared" si="1"/>
        <v>450000</v>
      </c>
      <c r="G22" s="23" t="s">
        <v>88</v>
      </c>
      <c r="H22" s="7" t="s">
        <v>89</v>
      </c>
    </row>
    <row r="23" spans="1:8" ht="26.4" x14ac:dyDescent="0.3">
      <c r="A23" s="16" t="s">
        <v>90</v>
      </c>
      <c r="B23" s="17" t="s">
        <v>91</v>
      </c>
      <c r="C23" s="17" t="s">
        <v>43</v>
      </c>
      <c r="D23" s="49">
        <v>250000</v>
      </c>
      <c r="E23" s="18">
        <v>1</v>
      </c>
      <c r="F23" s="43">
        <f t="shared" si="1"/>
        <v>250000</v>
      </c>
      <c r="G23" s="19" t="s">
        <v>92</v>
      </c>
      <c r="H23" s="4" t="s">
        <v>93</v>
      </c>
    </row>
    <row r="24" spans="1:8" ht="26.4" x14ac:dyDescent="0.3">
      <c r="A24" s="20" t="s">
        <v>94</v>
      </c>
      <c r="B24" s="21" t="s">
        <v>95</v>
      </c>
      <c r="C24" s="21" t="s">
        <v>35</v>
      </c>
      <c r="D24" s="50">
        <v>80000</v>
      </c>
      <c r="E24" s="22">
        <v>1</v>
      </c>
      <c r="F24" s="44">
        <f t="shared" si="1"/>
        <v>80000</v>
      </c>
      <c r="G24" s="23" t="s">
        <v>96</v>
      </c>
      <c r="H24" s="7" t="s">
        <v>97</v>
      </c>
    </row>
    <row r="25" spans="1:8" ht="26.4" x14ac:dyDescent="0.3">
      <c r="A25" s="16" t="s">
        <v>98</v>
      </c>
      <c r="B25" s="17" t="s">
        <v>99</v>
      </c>
      <c r="C25" s="17" t="s">
        <v>35</v>
      </c>
      <c r="D25" s="49">
        <v>90000</v>
      </c>
      <c r="E25" s="18">
        <v>1</v>
      </c>
      <c r="F25" s="43">
        <f t="shared" si="1"/>
        <v>90000</v>
      </c>
      <c r="G25" s="19" t="s">
        <v>100</v>
      </c>
      <c r="H25" s="4" t="s">
        <v>101</v>
      </c>
    </row>
    <row r="26" spans="1:8" ht="26.4" x14ac:dyDescent="0.3">
      <c r="A26" s="20" t="s">
        <v>102</v>
      </c>
      <c r="B26" s="21" t="s">
        <v>103</v>
      </c>
      <c r="C26" s="21" t="s">
        <v>104</v>
      </c>
      <c r="D26" s="50">
        <v>60000</v>
      </c>
      <c r="E26" s="22">
        <v>1</v>
      </c>
      <c r="F26" s="44">
        <f t="shared" si="1"/>
        <v>60000</v>
      </c>
      <c r="G26" s="23" t="s">
        <v>100</v>
      </c>
      <c r="H26" s="7" t="s">
        <v>105</v>
      </c>
    </row>
    <row r="27" spans="1:8" x14ac:dyDescent="0.3">
      <c r="A27" s="16" t="s">
        <v>106</v>
      </c>
      <c r="B27" s="17" t="s">
        <v>107</v>
      </c>
      <c r="C27" s="17" t="s">
        <v>35</v>
      </c>
      <c r="D27" s="49">
        <v>4000</v>
      </c>
      <c r="E27" s="18">
        <v>3</v>
      </c>
      <c r="F27" s="43">
        <f t="shared" si="1"/>
        <v>12000</v>
      </c>
      <c r="G27" s="19" t="s">
        <v>108</v>
      </c>
      <c r="H27" s="4" t="s">
        <v>109</v>
      </c>
    </row>
    <row r="28" spans="1:8" x14ac:dyDescent="0.3">
      <c r="A28" s="41" t="s">
        <v>110</v>
      </c>
      <c r="B28" s="32"/>
      <c r="C28" s="32"/>
      <c r="D28" s="32"/>
      <c r="E28" s="32"/>
      <c r="F28" s="32"/>
      <c r="G28" s="32"/>
      <c r="H28" s="32"/>
    </row>
    <row r="29" spans="1:8" x14ac:dyDescent="0.3">
      <c r="A29" s="38" t="s">
        <v>111</v>
      </c>
      <c r="B29" s="32"/>
      <c r="C29" s="32"/>
      <c r="D29" s="32"/>
      <c r="E29" s="32"/>
      <c r="F29" s="32"/>
      <c r="G29" s="32"/>
      <c r="H29" s="32"/>
    </row>
    <row r="30" spans="1:8" ht="26.4" x14ac:dyDescent="0.3">
      <c r="A30" s="16" t="s">
        <v>112</v>
      </c>
      <c r="B30" s="17" t="s">
        <v>113</v>
      </c>
      <c r="C30" s="17" t="s">
        <v>43</v>
      </c>
      <c r="D30" s="49">
        <v>150000</v>
      </c>
      <c r="E30" s="18">
        <v>1</v>
      </c>
      <c r="F30" s="43">
        <f>D30*E30</f>
        <v>150000</v>
      </c>
      <c r="G30" s="19" t="s">
        <v>114</v>
      </c>
      <c r="H30" s="4" t="s">
        <v>115</v>
      </c>
    </row>
    <row r="31" spans="1:8" ht="26.4" x14ac:dyDescent="0.3">
      <c r="A31" s="20" t="s">
        <v>116</v>
      </c>
      <c r="B31" s="21" t="s">
        <v>117</v>
      </c>
      <c r="C31" s="21" t="s">
        <v>43</v>
      </c>
      <c r="D31" s="50">
        <v>80000</v>
      </c>
      <c r="E31" s="22">
        <v>1</v>
      </c>
      <c r="F31" s="44">
        <f>D31*E31</f>
        <v>80000</v>
      </c>
      <c r="G31" s="23" t="s">
        <v>118</v>
      </c>
      <c r="H31" s="7" t="s">
        <v>119</v>
      </c>
    </row>
    <row r="32" spans="1:8" ht="26.4" x14ac:dyDescent="0.3">
      <c r="A32" s="16" t="s">
        <v>120</v>
      </c>
      <c r="B32" s="17" t="s">
        <v>121</v>
      </c>
      <c r="C32" s="17" t="s">
        <v>122</v>
      </c>
      <c r="D32" s="49">
        <v>40000</v>
      </c>
      <c r="E32" s="18">
        <v>1</v>
      </c>
      <c r="F32" s="43">
        <f>D32*E32</f>
        <v>40000</v>
      </c>
      <c r="G32" s="19" t="s">
        <v>92</v>
      </c>
      <c r="H32" s="4" t="s">
        <v>123</v>
      </c>
    </row>
    <row r="33" spans="1:8" x14ac:dyDescent="0.3">
      <c r="A33" s="20" t="s">
        <v>124</v>
      </c>
      <c r="B33" s="21" t="s">
        <v>125</v>
      </c>
      <c r="C33" s="21" t="s">
        <v>35</v>
      </c>
      <c r="D33" s="50">
        <v>8000</v>
      </c>
      <c r="E33" s="22">
        <v>2</v>
      </c>
      <c r="F33" s="44">
        <f>D33*E33</f>
        <v>16000</v>
      </c>
      <c r="G33" s="23" t="s">
        <v>126</v>
      </c>
      <c r="H33" s="7" t="s">
        <v>127</v>
      </c>
    </row>
    <row r="34" spans="1:8" x14ac:dyDescent="0.3">
      <c r="A34" s="41" t="s">
        <v>128</v>
      </c>
      <c r="B34" s="32"/>
      <c r="C34" s="32"/>
      <c r="D34" s="32"/>
      <c r="E34" s="32"/>
      <c r="F34" s="32"/>
      <c r="G34" s="32"/>
      <c r="H34" s="32"/>
    </row>
    <row r="35" spans="1:8" x14ac:dyDescent="0.3">
      <c r="A35" s="38" t="s">
        <v>129</v>
      </c>
      <c r="B35" s="32"/>
      <c r="C35" s="32"/>
      <c r="D35" s="32"/>
      <c r="E35" s="32"/>
      <c r="F35" s="32"/>
      <c r="G35" s="32"/>
      <c r="H35" s="32"/>
    </row>
    <row r="36" spans="1:8" ht="26.4" x14ac:dyDescent="0.3">
      <c r="A36" s="16" t="s">
        <v>130</v>
      </c>
      <c r="B36" s="17" t="s">
        <v>131</v>
      </c>
      <c r="C36" s="17" t="s">
        <v>43</v>
      </c>
      <c r="D36" s="49">
        <v>35000</v>
      </c>
      <c r="E36" s="18">
        <v>1</v>
      </c>
      <c r="F36" s="43">
        <f>D36*E36</f>
        <v>35000</v>
      </c>
      <c r="G36" s="19" t="s">
        <v>132</v>
      </c>
      <c r="H36" s="4" t="s">
        <v>133</v>
      </c>
    </row>
    <row r="37" spans="1:8" x14ac:dyDescent="0.3">
      <c r="A37" s="20" t="s">
        <v>134</v>
      </c>
      <c r="B37" s="21" t="s">
        <v>135</v>
      </c>
      <c r="C37" s="21" t="s">
        <v>43</v>
      </c>
      <c r="D37" s="50">
        <v>55000</v>
      </c>
      <c r="E37" s="22">
        <v>1</v>
      </c>
      <c r="F37" s="44">
        <f>D37*E37</f>
        <v>55000</v>
      </c>
      <c r="G37" s="23" t="s">
        <v>136</v>
      </c>
      <c r="H37" s="7" t="s">
        <v>137</v>
      </c>
    </row>
    <row r="38" spans="1:8" ht="26.4" x14ac:dyDescent="0.3">
      <c r="A38" s="16" t="s">
        <v>138</v>
      </c>
      <c r="B38" s="17" t="s">
        <v>139</v>
      </c>
      <c r="C38" s="17" t="s">
        <v>35</v>
      </c>
      <c r="D38" s="49">
        <v>15000</v>
      </c>
      <c r="E38" s="18">
        <v>2</v>
      </c>
      <c r="F38" s="43">
        <f>D38*E38</f>
        <v>30000</v>
      </c>
      <c r="G38" s="19" t="s">
        <v>140</v>
      </c>
      <c r="H38" s="4" t="s">
        <v>141</v>
      </c>
    </row>
    <row r="39" spans="1:8" x14ac:dyDescent="0.3">
      <c r="A39" s="20" t="s">
        <v>142</v>
      </c>
      <c r="B39" s="21" t="s">
        <v>143</v>
      </c>
      <c r="C39" s="21" t="s">
        <v>35</v>
      </c>
      <c r="D39" s="50">
        <v>5000</v>
      </c>
      <c r="E39" s="22">
        <v>3</v>
      </c>
      <c r="F39" s="44">
        <f>D39*E39</f>
        <v>15000</v>
      </c>
      <c r="G39" s="23" t="s">
        <v>144</v>
      </c>
      <c r="H39" s="7" t="s">
        <v>145</v>
      </c>
    </row>
    <row r="40" spans="1:8" x14ac:dyDescent="0.3">
      <c r="A40" s="41" t="s">
        <v>146</v>
      </c>
      <c r="B40" s="32"/>
      <c r="C40" s="32"/>
      <c r="D40" s="32"/>
      <c r="E40" s="32"/>
      <c r="F40" s="32"/>
      <c r="G40" s="32"/>
      <c r="H40" s="32"/>
    </row>
    <row r="41" spans="1:8" x14ac:dyDescent="0.3">
      <c r="A41" s="38" t="s">
        <v>147</v>
      </c>
      <c r="B41" s="32"/>
      <c r="C41" s="32"/>
      <c r="D41" s="32"/>
      <c r="E41" s="32"/>
      <c r="F41" s="32"/>
      <c r="G41" s="32"/>
      <c r="H41" s="32"/>
    </row>
    <row r="42" spans="1:8" x14ac:dyDescent="0.3">
      <c r="A42" s="16" t="s">
        <v>148</v>
      </c>
      <c r="B42" s="17" t="s">
        <v>149</v>
      </c>
      <c r="C42" s="17" t="s">
        <v>35</v>
      </c>
      <c r="D42" s="49">
        <v>25000</v>
      </c>
      <c r="E42" s="18">
        <v>1</v>
      </c>
      <c r="F42" s="43">
        <f>D42*E42</f>
        <v>25000</v>
      </c>
      <c r="G42" s="19" t="s">
        <v>150</v>
      </c>
      <c r="H42" s="4" t="s">
        <v>151</v>
      </c>
    </row>
    <row r="43" spans="1:8" x14ac:dyDescent="0.3">
      <c r="A43" s="20" t="s">
        <v>152</v>
      </c>
      <c r="B43" s="21" t="s">
        <v>153</v>
      </c>
      <c r="C43" s="21" t="s">
        <v>35</v>
      </c>
      <c r="D43" s="50">
        <v>20000</v>
      </c>
      <c r="E43" s="22">
        <v>2</v>
      </c>
      <c r="F43" s="44">
        <f>D43*E43</f>
        <v>40000</v>
      </c>
      <c r="G43" s="23" t="s">
        <v>154</v>
      </c>
      <c r="H43" s="7" t="s">
        <v>155</v>
      </c>
    </row>
    <row r="44" spans="1:8" x14ac:dyDescent="0.3">
      <c r="A44" s="16" t="s">
        <v>156</v>
      </c>
      <c r="B44" s="17" t="s">
        <v>157</v>
      </c>
      <c r="C44" s="17" t="s">
        <v>35</v>
      </c>
      <c r="D44" s="49">
        <v>8000</v>
      </c>
      <c r="E44" s="18">
        <v>2</v>
      </c>
      <c r="F44" s="43">
        <f>D44*E44</f>
        <v>16000</v>
      </c>
      <c r="G44" s="19" t="s">
        <v>158</v>
      </c>
      <c r="H44" s="4" t="s">
        <v>159</v>
      </c>
    </row>
    <row r="45" spans="1:8" x14ac:dyDescent="0.3">
      <c r="A45" s="20" t="s">
        <v>160</v>
      </c>
      <c r="B45" s="21" t="s">
        <v>161</v>
      </c>
      <c r="C45" s="21" t="s">
        <v>35</v>
      </c>
      <c r="D45" s="50">
        <v>7000</v>
      </c>
      <c r="E45" s="22">
        <v>2</v>
      </c>
      <c r="F45" s="44">
        <f>D45*E45</f>
        <v>14000</v>
      </c>
      <c r="G45" s="23" t="s">
        <v>158</v>
      </c>
      <c r="H45" s="7" t="s">
        <v>162</v>
      </c>
    </row>
    <row r="46" spans="1:8" x14ac:dyDescent="0.3">
      <c r="A46" s="41" t="s">
        <v>163</v>
      </c>
      <c r="B46" s="32"/>
      <c r="C46" s="32"/>
      <c r="D46" s="32"/>
      <c r="E46" s="32"/>
      <c r="F46" s="32"/>
      <c r="G46" s="32"/>
      <c r="H46" s="32"/>
    </row>
    <row r="47" spans="1:8" x14ac:dyDescent="0.3">
      <c r="A47" s="37" t="s">
        <v>164</v>
      </c>
      <c r="B47" s="32"/>
      <c r="C47" s="32"/>
      <c r="D47" s="32"/>
      <c r="E47" s="32"/>
      <c r="F47" s="13" t="s">
        <v>165</v>
      </c>
      <c r="G47" s="14"/>
      <c r="H47" s="14"/>
    </row>
  </sheetData>
  <mergeCells count="15">
    <mergeCell ref="A47:E47"/>
    <mergeCell ref="A5:H5"/>
    <mergeCell ref="A46:H46"/>
    <mergeCell ref="A34:H34"/>
    <mergeCell ref="A40:H40"/>
    <mergeCell ref="A28:H28"/>
    <mergeCell ref="A41:H41"/>
    <mergeCell ref="A19:H19"/>
    <mergeCell ref="A11:H11"/>
    <mergeCell ref="A12:H12"/>
    <mergeCell ref="A1:H1"/>
    <mergeCell ref="A29:H29"/>
    <mergeCell ref="A35:H35"/>
    <mergeCell ref="A20:H20"/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"/>
  <sheetViews>
    <sheetView showGridLines="0" workbookViewId="0">
      <pane xSplit="1" topLeftCell="B1" activePane="topRight" state="frozen"/>
      <selection pane="topRight" activeCell="J18" sqref="J18"/>
    </sheetView>
  </sheetViews>
  <sheetFormatPr defaultRowHeight="14.4" x14ac:dyDescent="0.3"/>
  <cols>
    <col min="1" max="1" width="28" customWidth="1"/>
    <col min="2" max="2" width="11.6640625" bestFit="1" customWidth="1"/>
    <col min="3" max="6" width="12.33203125" bestFit="1" customWidth="1"/>
    <col min="7" max="10" width="12.5546875" bestFit="1" customWidth="1"/>
    <col min="11" max="19" width="13.77734375" bestFit="1" customWidth="1"/>
    <col min="20" max="20" width="14" bestFit="1" customWidth="1"/>
  </cols>
  <sheetData>
    <row r="1" spans="1:20" ht="31.95" customHeight="1" x14ac:dyDescent="0.3">
      <c r="A1" s="42" t="s">
        <v>218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3" spans="1:20" ht="28.05" customHeight="1" x14ac:dyDescent="0.3">
      <c r="A3" s="15" t="s">
        <v>166</v>
      </c>
      <c r="B3" s="24" t="s">
        <v>167</v>
      </c>
      <c r="C3" s="24" t="s">
        <v>168</v>
      </c>
      <c r="D3" s="24" t="s">
        <v>169</v>
      </c>
      <c r="E3" s="24" t="s">
        <v>170</v>
      </c>
      <c r="F3" s="24" t="s">
        <v>171</v>
      </c>
      <c r="G3" s="24" t="s">
        <v>172</v>
      </c>
      <c r="H3" s="24" t="s">
        <v>173</v>
      </c>
      <c r="I3" s="24" t="s">
        <v>174</v>
      </c>
      <c r="J3" s="24" t="s">
        <v>175</v>
      </c>
      <c r="K3" s="24" t="s">
        <v>176</v>
      </c>
      <c r="L3" s="24" t="s">
        <v>177</v>
      </c>
      <c r="M3" s="24" t="s">
        <v>178</v>
      </c>
      <c r="N3" s="24" t="s">
        <v>179</v>
      </c>
      <c r="O3" s="24" t="s">
        <v>180</v>
      </c>
      <c r="P3" s="24" t="s">
        <v>181</v>
      </c>
      <c r="Q3" s="24" t="s">
        <v>182</v>
      </c>
      <c r="R3" s="24" t="s">
        <v>183</v>
      </c>
      <c r="S3" s="24" t="s">
        <v>184</v>
      </c>
      <c r="T3" s="25" t="s">
        <v>185</v>
      </c>
    </row>
    <row r="4" spans="1:20" ht="19.95" customHeight="1" x14ac:dyDescent="0.3">
      <c r="A4" s="17" t="s">
        <v>186</v>
      </c>
      <c r="B4" s="51">
        <v>60000</v>
      </c>
      <c r="C4" s="51">
        <v>60000</v>
      </c>
      <c r="D4" s="52" t="s">
        <v>187</v>
      </c>
      <c r="E4" s="52" t="s">
        <v>187</v>
      </c>
      <c r="F4" s="52" t="s">
        <v>187</v>
      </c>
      <c r="G4" s="52" t="s">
        <v>187</v>
      </c>
      <c r="H4" s="52" t="s">
        <v>187</v>
      </c>
      <c r="I4" s="52" t="s">
        <v>187</v>
      </c>
      <c r="J4" s="52" t="s">
        <v>187</v>
      </c>
      <c r="K4" s="52" t="s">
        <v>187</v>
      </c>
      <c r="L4" s="52" t="s">
        <v>187</v>
      </c>
      <c r="M4" s="52" t="s">
        <v>187</v>
      </c>
      <c r="N4" s="52" t="s">
        <v>187</v>
      </c>
      <c r="O4" s="52" t="s">
        <v>187</v>
      </c>
      <c r="P4" s="52" t="s">
        <v>187</v>
      </c>
      <c r="Q4" s="52" t="s">
        <v>187</v>
      </c>
      <c r="R4" s="52" t="s">
        <v>187</v>
      </c>
      <c r="S4" s="52" t="s">
        <v>187</v>
      </c>
      <c r="T4" s="53">
        <f t="shared" ref="T4:T10" si="0">SUM(B4:S4)</f>
        <v>120000</v>
      </c>
    </row>
    <row r="5" spans="1:20" ht="19.95" customHeight="1" x14ac:dyDescent="0.3">
      <c r="A5" s="21" t="s">
        <v>188</v>
      </c>
      <c r="B5" s="54" t="s">
        <v>187</v>
      </c>
      <c r="C5" s="54" t="s">
        <v>187</v>
      </c>
      <c r="D5" s="55">
        <v>80000</v>
      </c>
      <c r="E5" s="55">
        <v>80000</v>
      </c>
      <c r="F5" s="55">
        <v>80000</v>
      </c>
      <c r="G5" s="55">
        <v>80000</v>
      </c>
      <c r="H5" s="55">
        <v>80000</v>
      </c>
      <c r="I5" s="55">
        <v>80000</v>
      </c>
      <c r="J5" s="54" t="s">
        <v>187</v>
      </c>
      <c r="K5" s="54" t="s">
        <v>187</v>
      </c>
      <c r="L5" s="54" t="s">
        <v>187</v>
      </c>
      <c r="M5" s="54" t="s">
        <v>187</v>
      </c>
      <c r="N5" s="54" t="s">
        <v>187</v>
      </c>
      <c r="O5" s="54" t="s">
        <v>187</v>
      </c>
      <c r="P5" s="54" t="s">
        <v>187</v>
      </c>
      <c r="Q5" s="54" t="s">
        <v>187</v>
      </c>
      <c r="R5" s="54" t="s">
        <v>187</v>
      </c>
      <c r="S5" s="54" t="s">
        <v>187</v>
      </c>
      <c r="T5" s="53">
        <f t="shared" si="0"/>
        <v>480000</v>
      </c>
    </row>
    <row r="6" spans="1:20" ht="19.95" customHeight="1" x14ac:dyDescent="0.3">
      <c r="A6" s="17" t="s">
        <v>189</v>
      </c>
      <c r="B6" s="52" t="s">
        <v>187</v>
      </c>
      <c r="C6" s="52" t="s">
        <v>187</v>
      </c>
      <c r="D6" s="52" t="s">
        <v>187</v>
      </c>
      <c r="E6" s="52" t="s">
        <v>187</v>
      </c>
      <c r="F6" s="52" t="s">
        <v>187</v>
      </c>
      <c r="G6" s="52" t="s">
        <v>187</v>
      </c>
      <c r="H6" s="52" t="s">
        <v>187</v>
      </c>
      <c r="I6" s="52" t="s">
        <v>187</v>
      </c>
      <c r="J6" s="51">
        <v>122222</v>
      </c>
      <c r="K6" s="51">
        <v>122222</v>
      </c>
      <c r="L6" s="51">
        <v>122222</v>
      </c>
      <c r="M6" s="51">
        <v>122222</v>
      </c>
      <c r="N6" s="51">
        <v>122222</v>
      </c>
      <c r="O6" s="51">
        <v>122222</v>
      </c>
      <c r="P6" s="51">
        <v>122222</v>
      </c>
      <c r="Q6" s="52" t="s">
        <v>187</v>
      </c>
      <c r="R6" s="52" t="s">
        <v>187</v>
      </c>
      <c r="S6" s="52" t="s">
        <v>187</v>
      </c>
      <c r="T6" s="53">
        <f t="shared" si="0"/>
        <v>855554</v>
      </c>
    </row>
    <row r="7" spans="1:20" ht="19.95" customHeight="1" x14ac:dyDescent="0.3">
      <c r="A7" s="21" t="s">
        <v>190</v>
      </c>
      <c r="B7" s="54" t="s">
        <v>187</v>
      </c>
      <c r="C7" s="54" t="s">
        <v>187</v>
      </c>
      <c r="D7" s="54" t="s">
        <v>187</v>
      </c>
      <c r="E7" s="54" t="s">
        <v>187</v>
      </c>
      <c r="F7" s="54" t="s">
        <v>187</v>
      </c>
      <c r="G7" s="55">
        <v>43750</v>
      </c>
      <c r="H7" s="55">
        <v>43750</v>
      </c>
      <c r="I7" s="55">
        <v>43750</v>
      </c>
      <c r="J7" s="55">
        <v>43750</v>
      </c>
      <c r="K7" s="55">
        <v>43750</v>
      </c>
      <c r="L7" s="55">
        <v>43750</v>
      </c>
      <c r="M7" s="55">
        <v>43750</v>
      </c>
      <c r="N7" s="54" t="s">
        <v>187</v>
      </c>
      <c r="O7" s="54" t="s">
        <v>187</v>
      </c>
      <c r="P7" s="54" t="s">
        <v>187</v>
      </c>
      <c r="Q7" s="54" t="s">
        <v>187</v>
      </c>
      <c r="R7" s="54" t="s">
        <v>187</v>
      </c>
      <c r="S7" s="54" t="s">
        <v>187</v>
      </c>
      <c r="T7" s="53">
        <f t="shared" si="0"/>
        <v>306250</v>
      </c>
    </row>
    <row r="8" spans="1:20" ht="19.95" customHeight="1" x14ac:dyDescent="0.3">
      <c r="A8" s="17" t="s">
        <v>191</v>
      </c>
      <c r="B8" s="52" t="s">
        <v>187</v>
      </c>
      <c r="C8" s="52" t="s">
        <v>187</v>
      </c>
      <c r="D8" s="52" t="s">
        <v>187</v>
      </c>
      <c r="E8" s="52" t="s">
        <v>187</v>
      </c>
      <c r="F8" s="52" t="s">
        <v>187</v>
      </c>
      <c r="G8" s="52" t="s">
        <v>187</v>
      </c>
      <c r="H8" s="52" t="s">
        <v>187</v>
      </c>
      <c r="I8" s="52" t="s">
        <v>187</v>
      </c>
      <c r="J8" s="52" t="s">
        <v>187</v>
      </c>
      <c r="K8" s="52" t="s">
        <v>187</v>
      </c>
      <c r="L8" s="52" t="s">
        <v>187</v>
      </c>
      <c r="M8" s="51">
        <v>37500</v>
      </c>
      <c r="N8" s="51">
        <v>37500</v>
      </c>
      <c r="O8" s="51">
        <v>37500</v>
      </c>
      <c r="P8" s="51">
        <v>37500</v>
      </c>
      <c r="Q8" s="52" t="s">
        <v>187</v>
      </c>
      <c r="R8" s="52" t="s">
        <v>187</v>
      </c>
      <c r="S8" s="52" t="s">
        <v>187</v>
      </c>
      <c r="T8" s="53">
        <f t="shared" si="0"/>
        <v>150000</v>
      </c>
    </row>
    <row r="9" spans="1:20" ht="19.95" customHeight="1" x14ac:dyDescent="0.3">
      <c r="A9" s="21" t="s">
        <v>192</v>
      </c>
      <c r="B9" s="54" t="s">
        <v>187</v>
      </c>
      <c r="C9" s="54" t="s">
        <v>187</v>
      </c>
      <c r="D9" s="54" t="s">
        <v>187</v>
      </c>
      <c r="E9" s="54" t="s">
        <v>187</v>
      </c>
      <c r="F9" s="54" t="s">
        <v>187</v>
      </c>
      <c r="G9" s="54" t="s">
        <v>187</v>
      </c>
      <c r="H9" s="54" t="s">
        <v>187</v>
      </c>
      <c r="I9" s="54" t="s">
        <v>187</v>
      </c>
      <c r="J9" s="54" t="s">
        <v>187</v>
      </c>
      <c r="K9" s="54" t="s">
        <v>187</v>
      </c>
      <c r="L9" s="54" t="s">
        <v>187</v>
      </c>
      <c r="M9" s="54" t="s">
        <v>187</v>
      </c>
      <c r="N9" s="54" t="s">
        <v>187</v>
      </c>
      <c r="O9" s="54" t="s">
        <v>187</v>
      </c>
      <c r="P9" s="54" t="s">
        <v>187</v>
      </c>
      <c r="Q9" s="55">
        <v>66667</v>
      </c>
      <c r="R9" s="55">
        <v>66667</v>
      </c>
      <c r="S9" s="55">
        <v>66667</v>
      </c>
      <c r="T9" s="53">
        <f t="shared" si="0"/>
        <v>200001</v>
      </c>
    </row>
    <row r="10" spans="1:20" ht="24" customHeight="1" x14ac:dyDescent="0.3">
      <c r="A10" s="26" t="s">
        <v>216</v>
      </c>
      <c r="B10" s="56">
        <f t="shared" ref="B10:S10" si="1">SUM(B4:B9)</f>
        <v>60000</v>
      </c>
      <c r="C10" s="56">
        <f t="shared" si="1"/>
        <v>60000</v>
      </c>
      <c r="D10" s="56">
        <f t="shared" si="1"/>
        <v>80000</v>
      </c>
      <c r="E10" s="56">
        <f t="shared" si="1"/>
        <v>80000</v>
      </c>
      <c r="F10" s="56">
        <f t="shared" si="1"/>
        <v>80000</v>
      </c>
      <c r="G10" s="56">
        <f t="shared" si="1"/>
        <v>123750</v>
      </c>
      <c r="H10" s="56">
        <f t="shared" si="1"/>
        <v>123750</v>
      </c>
      <c r="I10" s="56">
        <f t="shared" si="1"/>
        <v>123750</v>
      </c>
      <c r="J10" s="56">
        <f t="shared" si="1"/>
        <v>165972</v>
      </c>
      <c r="K10" s="56">
        <f t="shared" si="1"/>
        <v>165972</v>
      </c>
      <c r="L10" s="56">
        <f t="shared" si="1"/>
        <v>165972</v>
      </c>
      <c r="M10" s="56">
        <f t="shared" si="1"/>
        <v>203472</v>
      </c>
      <c r="N10" s="56">
        <f t="shared" si="1"/>
        <v>159722</v>
      </c>
      <c r="O10" s="56">
        <f t="shared" si="1"/>
        <v>159722</v>
      </c>
      <c r="P10" s="56">
        <f t="shared" si="1"/>
        <v>159722</v>
      </c>
      <c r="Q10" s="56">
        <f t="shared" si="1"/>
        <v>66667</v>
      </c>
      <c r="R10" s="56">
        <f t="shared" si="1"/>
        <v>66667</v>
      </c>
      <c r="S10" s="56">
        <f t="shared" si="1"/>
        <v>66667</v>
      </c>
      <c r="T10" s="57">
        <f t="shared" si="0"/>
        <v>2111805</v>
      </c>
    </row>
    <row r="11" spans="1:20" ht="19.95" customHeight="1" x14ac:dyDescent="0.3">
      <c r="A11" s="27" t="s">
        <v>217</v>
      </c>
      <c r="B11" s="58">
        <f>B10</f>
        <v>60000</v>
      </c>
      <c r="C11" s="58">
        <f t="shared" ref="C11:S11" si="2">B11+C10</f>
        <v>120000</v>
      </c>
      <c r="D11" s="58">
        <f t="shared" si="2"/>
        <v>200000</v>
      </c>
      <c r="E11" s="58">
        <f t="shared" si="2"/>
        <v>280000</v>
      </c>
      <c r="F11" s="58">
        <f t="shared" si="2"/>
        <v>360000</v>
      </c>
      <c r="G11" s="58">
        <f t="shared" si="2"/>
        <v>483750</v>
      </c>
      <c r="H11" s="58">
        <f t="shared" si="2"/>
        <v>607500</v>
      </c>
      <c r="I11" s="58">
        <f t="shared" si="2"/>
        <v>731250</v>
      </c>
      <c r="J11" s="58">
        <f t="shared" si="2"/>
        <v>897222</v>
      </c>
      <c r="K11" s="58">
        <f t="shared" si="2"/>
        <v>1063194</v>
      </c>
      <c r="L11" s="58">
        <f t="shared" si="2"/>
        <v>1229166</v>
      </c>
      <c r="M11" s="58">
        <f t="shared" si="2"/>
        <v>1432638</v>
      </c>
      <c r="N11" s="58">
        <f t="shared" si="2"/>
        <v>1592360</v>
      </c>
      <c r="O11" s="58">
        <f t="shared" si="2"/>
        <v>1752082</v>
      </c>
      <c r="P11" s="58">
        <f t="shared" si="2"/>
        <v>1911804</v>
      </c>
      <c r="Q11" s="58">
        <f t="shared" si="2"/>
        <v>1978471</v>
      </c>
      <c r="R11" s="58">
        <f t="shared" si="2"/>
        <v>2045138</v>
      </c>
      <c r="S11" s="58">
        <f t="shared" si="2"/>
        <v>2111805</v>
      </c>
      <c r="T11" s="59"/>
    </row>
  </sheetData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showGridLines="0" workbookViewId="0">
      <selection activeCell="L7" sqref="L7"/>
    </sheetView>
  </sheetViews>
  <sheetFormatPr defaultRowHeight="14.4" x14ac:dyDescent="0.3"/>
  <cols>
    <col min="1" max="1" width="10" customWidth="1"/>
    <col min="2" max="2" width="30" customWidth="1"/>
    <col min="3" max="3" width="15.88671875" bestFit="1" customWidth="1"/>
    <col min="4" max="4" width="15" customWidth="1"/>
    <col min="5" max="5" width="15.88671875" bestFit="1" customWidth="1"/>
    <col min="6" max="6" width="12" customWidth="1"/>
    <col min="7" max="7" width="15" customWidth="1"/>
  </cols>
  <sheetData>
    <row r="1" spans="1:7" ht="31.95" customHeight="1" x14ac:dyDescent="0.3">
      <c r="A1" s="42" t="s">
        <v>193</v>
      </c>
      <c r="B1" s="32"/>
      <c r="C1" s="32"/>
      <c r="D1" s="32"/>
      <c r="E1" s="32"/>
      <c r="F1" s="32"/>
      <c r="G1" s="32"/>
    </row>
    <row r="2" spans="1:7" ht="13.95" customHeight="1" x14ac:dyDescent="0.3">
      <c r="A2" s="40" t="s">
        <v>219</v>
      </c>
      <c r="B2" s="32"/>
      <c r="C2" s="32"/>
      <c r="D2" s="32"/>
      <c r="E2" s="32"/>
      <c r="F2" s="32"/>
      <c r="G2" s="32"/>
    </row>
    <row r="4" spans="1:7" ht="28.05" customHeight="1" x14ac:dyDescent="0.3">
      <c r="A4" s="1" t="s">
        <v>27</v>
      </c>
      <c r="B4" s="1" t="s">
        <v>194</v>
      </c>
      <c r="C4" s="1" t="s">
        <v>220</v>
      </c>
      <c r="D4" s="1" t="s">
        <v>221</v>
      </c>
      <c r="E4" s="1" t="s">
        <v>222</v>
      </c>
      <c r="F4" s="1" t="s">
        <v>195</v>
      </c>
      <c r="G4" s="1" t="s">
        <v>196</v>
      </c>
    </row>
    <row r="5" spans="1:7" ht="22.05" customHeight="1" x14ac:dyDescent="0.3">
      <c r="A5" s="28" t="s">
        <v>197</v>
      </c>
      <c r="B5" s="17" t="s">
        <v>186</v>
      </c>
      <c r="C5" s="49">
        <v>120000</v>
      </c>
      <c r="D5" s="49">
        <v>0</v>
      </c>
      <c r="E5" s="43">
        <f t="shared" ref="E5:E10" si="0">C5-D5</f>
        <v>120000</v>
      </c>
      <c r="F5" s="3">
        <f t="shared" ref="F5:F10" si="1">IFERROR((C5-D5)/C5,0)</f>
        <v>1</v>
      </c>
      <c r="G5" s="19" t="str">
        <f t="shared" ref="G5:G10" si="2">IF(F5&gt;0.05,"Over budget",IF(F5&lt;-0.05,"Under budget","On track"))</f>
        <v>Over budget</v>
      </c>
    </row>
    <row r="6" spans="1:7" ht="22.05" customHeight="1" x14ac:dyDescent="0.3">
      <c r="A6" s="29" t="s">
        <v>198</v>
      </c>
      <c r="B6" s="21" t="s">
        <v>199</v>
      </c>
      <c r="C6" s="50">
        <v>480000</v>
      </c>
      <c r="D6" s="50">
        <v>0</v>
      </c>
      <c r="E6" s="44">
        <f t="shared" si="0"/>
        <v>480000</v>
      </c>
      <c r="F6" s="6">
        <f t="shared" si="1"/>
        <v>1</v>
      </c>
      <c r="G6" s="23" t="str">
        <f t="shared" si="2"/>
        <v>Over budget</v>
      </c>
    </row>
    <row r="7" spans="1:7" ht="22.05" customHeight="1" x14ac:dyDescent="0.3">
      <c r="A7" s="28" t="s">
        <v>200</v>
      </c>
      <c r="B7" s="17" t="s">
        <v>201</v>
      </c>
      <c r="C7" s="49">
        <v>1100000</v>
      </c>
      <c r="D7" s="49">
        <v>0</v>
      </c>
      <c r="E7" s="43">
        <f t="shared" si="0"/>
        <v>1100000</v>
      </c>
      <c r="F7" s="3">
        <f t="shared" si="1"/>
        <v>1</v>
      </c>
      <c r="G7" s="19" t="str">
        <f t="shared" si="2"/>
        <v>Over budget</v>
      </c>
    </row>
    <row r="8" spans="1:7" ht="22.05" customHeight="1" x14ac:dyDescent="0.3">
      <c r="A8" s="29" t="s">
        <v>202</v>
      </c>
      <c r="B8" s="21" t="s">
        <v>203</v>
      </c>
      <c r="C8" s="50">
        <v>350000</v>
      </c>
      <c r="D8" s="50">
        <v>0</v>
      </c>
      <c r="E8" s="44">
        <f t="shared" si="0"/>
        <v>350000</v>
      </c>
      <c r="F8" s="6">
        <f t="shared" si="1"/>
        <v>1</v>
      </c>
      <c r="G8" s="23" t="str">
        <f t="shared" si="2"/>
        <v>Over budget</v>
      </c>
    </row>
    <row r="9" spans="1:7" ht="22.05" customHeight="1" x14ac:dyDescent="0.3">
      <c r="A9" s="28" t="s">
        <v>204</v>
      </c>
      <c r="B9" s="17" t="s">
        <v>191</v>
      </c>
      <c r="C9" s="49">
        <v>150000</v>
      </c>
      <c r="D9" s="49">
        <v>0</v>
      </c>
      <c r="E9" s="43">
        <f t="shared" si="0"/>
        <v>150000</v>
      </c>
      <c r="F9" s="3">
        <f t="shared" si="1"/>
        <v>1</v>
      </c>
      <c r="G9" s="19" t="str">
        <f t="shared" si="2"/>
        <v>Over budget</v>
      </c>
    </row>
    <row r="10" spans="1:7" ht="22.05" customHeight="1" x14ac:dyDescent="0.3">
      <c r="A10" s="29" t="s">
        <v>205</v>
      </c>
      <c r="B10" s="21" t="s">
        <v>192</v>
      </c>
      <c r="C10" s="50">
        <v>200000</v>
      </c>
      <c r="D10" s="50">
        <v>0</v>
      </c>
      <c r="E10" s="44">
        <f t="shared" si="0"/>
        <v>200000</v>
      </c>
      <c r="F10" s="6">
        <f t="shared" si="1"/>
        <v>1</v>
      </c>
      <c r="G10" s="23" t="str">
        <f t="shared" si="2"/>
        <v>Over budget</v>
      </c>
    </row>
    <row r="11" spans="1:7" ht="25.95" customHeight="1" x14ac:dyDescent="0.3">
      <c r="A11" s="15" t="s">
        <v>206</v>
      </c>
      <c r="B11" s="15" t="s">
        <v>207</v>
      </c>
      <c r="C11" s="60">
        <f>SUM(C5:C10)</f>
        <v>2400000</v>
      </c>
      <c r="D11" s="60">
        <f>SUM(D5:D10)</f>
        <v>0</v>
      </c>
      <c r="E11" s="60">
        <f>SUM(E5:E10)</f>
        <v>2400000</v>
      </c>
      <c r="F11" s="30">
        <f>IFERROR(E11/C11,0)</f>
        <v>1</v>
      </c>
      <c r="G11" s="25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Budget Summary</vt:lpstr>
      <vt:lpstr>Detailed Budget</vt:lpstr>
      <vt:lpstr>Monthly Cash Flow</vt:lpstr>
      <vt:lpstr>Budget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Harissa Rania</cp:lastModifiedBy>
  <dcterms:created xsi:type="dcterms:W3CDTF">2026-05-02T05:07:34Z</dcterms:created>
  <dcterms:modified xsi:type="dcterms:W3CDTF">2026-05-04T01:27:19Z</dcterms:modified>
</cp:coreProperties>
</file>