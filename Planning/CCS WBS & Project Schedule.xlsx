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8E88843-BE92-42A8-B014-612B35DAC9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BS" sheetId="1" r:id="rId1"/>
    <sheet name="Schedule" sheetId="2" r:id="rId2"/>
    <sheet name="Stakeholders" sheetId="3" r:id="rId3"/>
    <sheet name="Risk Register" sheetId="4" r:id="rId4"/>
    <sheet name="KP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G30" i="1"/>
  <c r="G29" i="1"/>
  <c r="G28" i="1"/>
  <c r="G26" i="1"/>
  <c r="G25" i="1"/>
  <c r="G24" i="1"/>
  <c r="G23" i="1"/>
  <c r="G21" i="1"/>
  <c r="G20" i="1"/>
  <c r="G19" i="1"/>
  <c r="G18" i="1"/>
  <c r="G17" i="1"/>
  <c r="G15" i="1"/>
  <c r="G14" i="1"/>
  <c r="G13" i="1"/>
  <c r="G12" i="1"/>
  <c r="G11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<sst xmlns="http://schemas.openxmlformats.org/spreadsheetml/2006/main" count="385" uniqueCount="274">
  <si>
    <t>WORK BREAKDOWN STRUCTURE — CCS Research Initiative</t>
  </si>
  <si>
    <t>Project: Carbon Capture &amp; Storage (CCS) Research Initiative  |  Duration: 18 months  |  Budget: $2,400,000</t>
  </si>
  <si>
    <t>WBS Code</t>
  </si>
  <si>
    <t>Work Package / Task</t>
  </si>
  <si>
    <t>Description</t>
  </si>
  <si>
    <t>Owner</t>
  </si>
  <si>
    <t>Start Mo.</t>
  </si>
  <si>
    <t>End Mo.</t>
  </si>
  <si>
    <t>Duration (Mo.)</t>
  </si>
  <si>
    <t>1.0 — Initiation &amp; Planning (Month 1–2)</t>
  </si>
  <si>
    <t>WP 1.1</t>
  </si>
  <si>
    <t>Project charter</t>
  </si>
  <si>
    <t>Define scope, objectives, budget and team structure</t>
  </si>
  <si>
    <t>Project Manager</t>
  </si>
  <si>
    <t>WP 1.2</t>
  </si>
  <si>
    <t>Literature review</t>
  </si>
  <si>
    <t>Survey existing CCS technologies and sorbents</t>
  </si>
  <si>
    <t>R&amp;D Lead</t>
  </si>
  <si>
    <t>WP 1.3</t>
  </si>
  <si>
    <t>Regulatory mapping</t>
  </si>
  <si>
    <t>Identify permits, standards (ISO 27914, local EIA law)</t>
  </si>
  <si>
    <t>WP 1.4</t>
  </si>
  <si>
    <t>Vendor &amp; partner selection</t>
  </si>
  <si>
    <t>Geological survey firm, lab equipment suppliers</t>
  </si>
  <si>
    <t>WP 1.5</t>
  </si>
  <si>
    <t>Risk register v1</t>
  </si>
  <si>
    <t>Initial risk identification and mitigation planning</t>
  </si>
  <si>
    <t>2.0 — Phase 1: Bench-Scale R&amp;D (Month 3–8)</t>
  </si>
  <si>
    <t>WP 2.1</t>
  </si>
  <si>
    <t>Sorbent screening</t>
  </si>
  <si>
    <t>Test MEA, MDEA, ionic liquids, MOFs for CO₂ uptake</t>
  </si>
  <si>
    <t>WP 2.2</t>
  </si>
  <si>
    <t>Bench-scale setup</t>
  </si>
  <si>
    <t>Design and build absorption column (lab scale)</t>
  </si>
  <si>
    <t>Process Engineer</t>
  </si>
  <si>
    <t>WP 2.3</t>
  </si>
  <si>
    <t>Capture experiments</t>
  </si>
  <si>
    <t>Run trials with simulated flue gas at varying conditions</t>
  </si>
  <si>
    <t>WP 2.4</t>
  </si>
  <si>
    <t>Regeneration testing</t>
  </si>
  <si>
    <t>Assess energy penalty for sorbent regeneration</t>
  </si>
  <si>
    <t>WP 2.5</t>
  </si>
  <si>
    <t>Phase 1 report &amp; gate review</t>
  </si>
  <si>
    <t>Data analysis, sorbent selection, gate review</t>
  </si>
  <si>
    <t>3.0 — Phase 2: Pilot Plant Scale-Up (Month 9–15)</t>
  </si>
  <si>
    <t>WP 3.1</t>
  </si>
  <si>
    <t>Pilot plant design</t>
  </si>
  <si>
    <t>Engineering design for 500 tonne/yr pilot unit</t>
  </si>
  <si>
    <t>WP 3.2</t>
  </si>
  <si>
    <t>Procurement</t>
  </si>
  <si>
    <t>Purchase equipment: absorber column, heat exchanger, compressor</t>
  </si>
  <si>
    <t>WP 3.3</t>
  </si>
  <si>
    <t>Construction &amp; commissioning</t>
  </si>
  <si>
    <t>Build, install, and commission pilot plant on site</t>
  </si>
  <si>
    <t>WP 3.4</t>
  </si>
  <si>
    <t>Pilot testing</t>
  </si>
  <si>
    <t>Run 3-month continuous capture trial; collect performance data</t>
  </si>
  <si>
    <t>WP 3.5</t>
  </si>
  <si>
    <t>HSE audit</t>
  </si>
  <si>
    <t>Safety inspection and environmental compliance check</t>
  </si>
  <si>
    <t>HSE Officer</t>
  </si>
  <si>
    <t>4.0 — Geological Storage Assessment (Month 6–14)</t>
  </si>
  <si>
    <t>WP 4.1</t>
  </si>
  <si>
    <t>Seismic survey</t>
  </si>
  <si>
    <t>3D seismic data acquisition at candidate storage site</t>
  </si>
  <si>
    <t>Geoscience Eng.</t>
  </si>
  <si>
    <t>WP 4.2</t>
  </si>
  <si>
    <t>Core &amp; well analysis</t>
  </si>
  <si>
    <t>Reservoir porosity, permeability, and caprock integrity</t>
  </si>
  <si>
    <t>WP 4.3</t>
  </si>
  <si>
    <t>Storage capacity model</t>
  </si>
  <si>
    <t>Numerical simulation of CO₂ plume migration</t>
  </si>
  <si>
    <t>WP 4.4</t>
  </si>
  <si>
    <t>Storage feasibility report</t>
  </si>
  <si>
    <t>Final geological suitability assessment</t>
  </si>
  <si>
    <t>5.0 — Reporting &amp; Closeout (Month 16–18)</t>
  </si>
  <si>
    <t>WP 5.1</t>
  </si>
  <si>
    <t>Economic model</t>
  </si>
  <si>
    <t>Levelized cost of capture, NPV analysis at commercial scale</t>
  </si>
  <si>
    <t>WP 5.2</t>
  </si>
  <si>
    <t>Final feasibility report</t>
  </si>
  <si>
    <t>Integrated capture + storage + economic findings</t>
  </si>
  <si>
    <t>WP 5.3</t>
  </si>
  <si>
    <t>Go/no-go recommendation</t>
  </si>
  <si>
    <t>Stakeholder presentation and decision package</t>
  </si>
  <si>
    <t>WP 5.4</t>
  </si>
  <si>
    <t>Project closeout</t>
  </si>
  <si>
    <t>Lessons learned, asset handover, team disbandment</t>
  </si>
  <si>
    <t>PROJECT SCHEDULE — CCS Research Initiative (18-Month Gantt)</t>
  </si>
  <si>
    <t>Jan 2025 – Jun 2026  |  Shaded cells = active phase  |  Milestone = key gate/decision</t>
  </si>
  <si>
    <t>Phase / Deliverable</t>
  </si>
  <si>
    <t>Details</t>
  </si>
  <si>
    <t>Budget</t>
  </si>
  <si>
    <t>Milestone</t>
  </si>
  <si>
    <t>Jan
'25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</si>
  <si>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</si>
  <si>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</si>
  <si>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</si>
  <si>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</si>
  <si>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</si>
  <si>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</si>
  <si>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</si>
  <si>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</si>
  <si>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</si>
  <si>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</si>
  <si>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</si>
  <si>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
'26</t>
  </si>
  <si>
    <t>Jun
'26</t>
  </si>
  <si>
    <t>Initiation &amp; Planning</t>
  </si>
  <si>
    <t>Charter, lit review, regulatory</t>
  </si>
  <si>
    <t>Kick-off + permits</t>
  </si>
  <si>
    <t>█</t>
  </si>
  <si>
    <t>Phase 1: Bench R&amp;D</t>
  </si>
  <si>
    <t>Sorbent screening &amp; experiments</t>
  </si>
  <si>
    <t>Gate review 1 (Mo 8)</t>
  </si>
  <si>
    <t>Geological Survey</t>
  </si>
  <si>
    <t>Seismic, core, capacity model</t>
  </si>
  <si>
    <t>Storage report (Mo 14)</t>
  </si>
  <si>
    <t>Phase 2: Pilot Plant</t>
  </si>
  <si>
    <t>Design, build, commission, test</t>
  </si>
  <si>
    <t>Gate review 2 (Mo 15)</t>
  </si>
  <si>
    <t>HSE &amp; Compliance</t>
  </si>
  <si>
    <t>Safety audit, EIA submission</t>
  </si>
  <si>
    <t>EIA approval (Mo 16)</t>
  </si>
  <si>
    <t>Reporting &amp; Closeout</t>
  </si>
  <si>
    <t>Final report, go/no-go decision</t>
  </si>
  <si>
    <t>Go/no-go decision (Mo 18)</t>
  </si>
  <si>
    <t>TOTAL BUDGET</t>
  </si>
  <si>
    <t>LEGEND</t>
  </si>
  <si>
    <t xml:space="preserve">  Initiation &amp; Planning</t>
  </si>
  <si>
    <t xml:space="preserve">  Phase 1 Bench R&amp;D</t>
  </si>
  <si>
    <t xml:space="preserve">  Geological Storage</t>
  </si>
  <si>
    <t xml:space="preserve">  Phase 2 Pilot Plant</t>
  </si>
  <si>
    <t xml:space="preserve">  HSE &amp; Compliance</t>
  </si>
  <si>
    <t xml:space="preserve">  Reporting &amp; Closeout</t>
  </si>
  <si>
    <t>STAKEHOLDER REGISTER — CCS Research Initiative</t>
  </si>
  <si>
    <t>Interest &amp; Influence ratings: Low | Medium | High | Very High</t>
  </si>
  <si>
    <t>Initials</t>
  </si>
  <si>
    <t>Name / Role</t>
  </si>
  <si>
    <t>Responsibilities</t>
  </si>
  <si>
    <t>Interest</t>
  </si>
  <si>
    <t>Influence</t>
  </si>
  <si>
    <t>Category</t>
  </si>
  <si>
    <t>Communication Strategy</t>
  </si>
  <si>
    <t>Frequency</t>
  </si>
  <si>
    <t>PM</t>
  </si>
  <si>
    <t>Overall coordination &amp; delivery</t>
  </si>
  <si>
    <t>High</t>
  </si>
  <si>
    <t>Lead</t>
  </si>
  <si>
    <t>Daily standup, weekly status report</t>
  </si>
  <si>
    <t>Daily</t>
  </si>
  <si>
    <t>RD</t>
  </si>
  <si>
    <t>R&amp;D Lead (Chemistry)</t>
  </si>
  <si>
    <t>Sorbent selection &amp; bench testing</t>
  </si>
  <si>
    <t>Core Team</t>
  </si>
  <si>
    <t>Daily, part of core team</t>
  </si>
  <si>
    <t>PE</t>
  </si>
  <si>
    <t>Pilot plant design &amp; scale-up</t>
  </si>
  <si>
    <t>Daily during Phase 2</t>
  </si>
  <si>
    <t>Daily / Phase 2</t>
  </si>
  <si>
    <t>GE</t>
  </si>
  <si>
    <t>Geoscience Engineer</t>
  </si>
  <si>
    <t>Geological site survey &amp; storage</t>
  </si>
  <si>
    <t>Medium</t>
  </si>
  <si>
    <t>Weekly, phase 4 reports</t>
  </si>
  <si>
    <t>Weekly</t>
  </si>
  <si>
    <t>HS</t>
  </si>
  <si>
    <t>Safety compliance &amp; risk management</t>
  </si>
  <si>
    <t>Support</t>
  </si>
  <si>
    <t>Bi-weekly safety reviews</t>
  </si>
  <si>
    <t>Bi-weekly</t>
  </si>
  <si>
    <t>SP</t>
  </si>
  <si>
    <t>Sponsor / Exec</t>
  </si>
  <si>
    <t>Budget approval &amp; strategic direction</t>
  </si>
  <si>
    <t>Very High</t>
  </si>
  <si>
    <t>Sponsor</t>
  </si>
  <si>
    <t>Monthly dashboard report</t>
  </si>
  <si>
    <t>Monthly</t>
  </si>
  <si>
    <t>RA</t>
  </si>
  <si>
    <t>Regulatory Authority</t>
  </si>
  <si>
    <t>Environmental permits &amp; ISO compliance</t>
  </si>
  <si>
    <t>Low</t>
  </si>
  <si>
    <t>External</t>
  </si>
  <si>
    <t>Formal submissions, as required</t>
  </si>
  <si>
    <t>As required</t>
  </si>
  <si>
    <t>CO</t>
  </si>
  <si>
    <t>Community Officer</t>
  </si>
  <si>
    <t>Local community liaison</t>
  </si>
  <si>
    <t>Quarterly public briefings</t>
  </si>
  <si>
    <t>Quarterly</t>
  </si>
  <si>
    <t>RISK REGISTER — CCS Research Initiative</t>
  </si>
  <si>
    <t>Risk levels: High (Red) | Medium (Orange) | Low (Green)  |  All risks tracked monthly</t>
  </si>
  <si>
    <t>Risk ID</t>
  </si>
  <si>
    <t>Probability</t>
  </si>
  <si>
    <t>Impact</t>
  </si>
  <si>
    <t>Risk Level</t>
  </si>
  <si>
    <t>Mitigation Strategy</t>
  </si>
  <si>
    <t>R-01</t>
  </si>
  <si>
    <t>Sorbent degradation reduces capture efficiency over time</t>
  </si>
  <si>
    <t>Test sorbent stability over 500 hrs; select proven MEA baseline as fallback</t>
  </si>
  <si>
    <t>R-02</t>
  </si>
  <si>
    <t>Regulatory permit delays stall Phase 1 start</t>
  </si>
  <si>
    <t>Engage regulatory body in Month 1; fast-track permit application</t>
  </si>
  <si>
    <t>R-03</t>
  </si>
  <si>
    <t>Geological site proves unsuitable for storage</t>
  </si>
  <si>
    <t>Identify 2 candidate sites; run preliminary screening before committing</t>
  </si>
  <si>
    <t>R-04</t>
  </si>
  <si>
    <t>Pilot plant cost overrun due to equipment price increases</t>
  </si>
  <si>
    <t>Lock in fixed-price contracts; hold 10% contingency reserve</t>
  </si>
  <si>
    <t>R-05</t>
  </si>
  <si>
    <t>Key team member departure disrupts R&amp;D continuity</t>
  </si>
  <si>
    <t>Cross-train at least two staff per critical workstream; document all procedures</t>
  </si>
  <si>
    <t>R-06</t>
  </si>
  <si>
    <t>HSE incident during pilot plant commissioning</t>
  </si>
  <si>
    <t>Mandatory HAZOP before commissioning; emergency response plan in place</t>
  </si>
  <si>
    <t>R-07</t>
  </si>
  <si>
    <t>CO₂ capture efficiency below 90% target at pilot scale</t>
  </si>
  <si>
    <t>Optimize process conditions iteratively; consider column redesign if needed</t>
  </si>
  <si>
    <t>Process Eng.</t>
  </si>
  <si>
    <t>R-08</t>
  </si>
  <si>
    <t>Community opposition to geological storage site</t>
  </si>
  <si>
    <t>Early community engagement; transparent communication of safety data</t>
  </si>
  <si>
    <t>RISK SUMMARY</t>
  </si>
  <si>
    <t>High Risks</t>
  </si>
  <si>
    <t>Medium Risks</t>
  </si>
  <si>
    <t>Low Risks</t>
  </si>
  <si>
    <t>KEY PERFORMANCE INDICATORS — CCS Research Initiative</t>
  </si>
  <si>
    <t>KPIs tracked throughout the 18-month project lifecycle.  Blue = target fill %  |  Green = on track  |  Orange = at risk</t>
  </si>
  <si>
    <t>KPI</t>
  </si>
  <si>
    <t>Target</t>
  </si>
  <si>
    <t>Baseline</t>
  </si>
  <si>
    <t>Progress (%)</t>
  </si>
  <si>
    <t>Status</t>
  </si>
  <si>
    <t>Notes</t>
  </si>
  <si>
    <t>CO₂ capture efficiency</t>
  </si>
  <si>
    <t>≥ 90%</t>
  </si>
  <si>
    <t>70% (industry avg)</t>
  </si>
  <si>
    <t>Measured at pilot scale steady state</t>
  </si>
  <si>
    <t>Levelized cost of capture</t>
  </si>
  <si>
    <t>Based on pilot OPEX + CAPEX model</t>
  </si>
  <si>
    <t>Sorbent regeneration energy</t>
  </si>
  <si>
    <t>≤ 3.5 GJ/tonne CO₂</t>
  </si>
  <si>
    <t>4.0 GJ/tonne</t>
  </si>
  <si>
    <t>On Track</t>
  </si>
  <si>
    <t>Key driver of operating cost</t>
  </si>
  <si>
    <t>Schedule adherence</t>
  </si>
  <si>
    <t>≥ 90% milestones on time</t>
  </si>
  <si>
    <t>Baseline: 100%</t>
  </si>
  <si>
    <t>Tracked at each gate review</t>
  </si>
  <si>
    <t>Budget variance</t>
  </si>
  <si>
    <t>≤ ±5%</t>
  </si>
  <si>
    <t>Reviewed monthly vs. plan</t>
  </si>
  <si>
    <t>HSE incidents (LTI)</t>
  </si>
  <si>
    <t>0 lost-time incidents</t>
  </si>
  <si>
    <t>Zero tolerance</t>
  </si>
  <si>
    <t>Tracked weekly; stop-work authority in place</t>
  </si>
  <si>
    <t>Geological storage capacity</t>
  </si>
  <si>
    <t>≥ 1 Mt CO₂ confirmed</t>
  </si>
  <si>
    <t>TBD by survey</t>
  </si>
  <si>
    <t>At Risk</t>
  </si>
  <si>
    <t>Confirmed after Phase 4 survey</t>
  </si>
  <si>
    <t>Sorbent cycle lifetime</t>
  </si>
  <si>
    <t>≥ 1000 cycles</t>
  </si>
  <si>
    <t>500 cycles (MEA)</t>
  </si>
  <si>
    <t>Accelerated cycle testing in bench phase</t>
  </si>
  <si>
    <t>RM120K</t>
  </si>
  <si>
    <t>RM480K</t>
  </si>
  <si>
    <t>RM350K</t>
  </si>
  <si>
    <t>RM1,100K</t>
  </si>
  <si>
    <t>RM150K</t>
  </si>
  <si>
    <t>RM200K</t>
  </si>
  <si>
    <t>≤ RM60/tonne</t>
  </si>
  <si>
    <t>RM80–100/tonne</t>
  </si>
  <si>
    <t>RM2.4M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</si>
</sst>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0"/>
      <color rgb="FF1F4E79"/>
      <name val="Arial"/>
      <family val="2"/>
    </font>
    <font>
      <b/>
      <sz val="11"/>
      <color rgb="FFFFFFFF"/>
      <name val="Arial"/>
      <family val="2"/>
    </font>
    <font>
      <b/>
      <sz val="10"/>
      <color rgb="FF595959"/>
      <name val="Arial"/>
      <family val="2"/>
    </font>
    <font>
      <b/>
      <sz val="10"/>
      <color rgb="FF1A1A1A"/>
      <name val="Arial"/>
      <family val="2"/>
    </font>
    <font>
      <sz val="10"/>
      <color rgb="FF1A1A1A"/>
      <name val="Arial"/>
      <family val="2"/>
    </font>
    <font>
      <sz val="10"/>
      <color rgb="FF2E75B6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9"/>
      <color rgb="FF1A1A1A"/>
      <name val="Arial"/>
      <family val="2"/>
    </font>
    <font>
      <b/>
      <sz val="10"/>
      <color rgb="FF1F4E79"/>
      <name val="Arial"/>
      <family val="2"/>
    </font>
    <font>
      <sz val="9"/>
      <color rgb="FF595959"/>
      <name val="Arial"/>
      <family val="2"/>
    </font>
    <font>
      <sz val="7"/>
      <color rgb="FF2E75B6"/>
      <name val="Arial"/>
      <family val="2"/>
    </font>
    <font>
      <sz val="7"/>
      <color rgb="FF3B6D11"/>
      <name val="Arial"/>
      <family val="2"/>
    </font>
    <font>
      <sz val="7"/>
      <color rgb="FF534AB7"/>
      <name val="Arial"/>
      <family val="2"/>
    </font>
    <font>
      <sz val="7"/>
      <color rgb="FFBA7517"/>
      <name val="Arial"/>
      <family val="2"/>
    </font>
    <font>
      <sz val="7"/>
      <color rgb="FF0F6E56"/>
      <name val="Arial"/>
      <family val="2"/>
    </font>
    <font>
      <sz val="7"/>
      <color rgb="FF993C1D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595959"/>
      <name val="Arial"/>
      <family val="2"/>
    </font>
    <font>
      <sz val="10"/>
      <color rgb="FF993C1D"/>
      <name val="Arial"/>
      <family val="2"/>
    </font>
    <font>
      <b/>
      <sz val="10"/>
      <color rgb="FFC0392B"/>
      <name val="Arial"/>
      <family val="2"/>
    </font>
    <font>
      <b/>
      <sz val="10"/>
      <color rgb="FFBA7517"/>
      <name val="Arial"/>
      <family val="2"/>
    </font>
    <font>
      <b/>
      <sz val="10"/>
      <color rgb="FF27AE60"/>
      <name val="Arial"/>
      <family val="2"/>
    </font>
    <font>
      <b/>
      <sz val="12"/>
      <color rgb="FFFFFFFF"/>
      <name val="Arial"/>
      <family val="2"/>
    </font>
    <font>
      <b/>
      <sz val="14"/>
      <color rgb="FFC0392B"/>
      <name val="Arial"/>
      <family val="2"/>
    </font>
    <font>
      <b/>
      <sz val="14"/>
      <color rgb="FFBA7517"/>
      <name val="Arial"/>
      <family val="2"/>
    </font>
    <font>
      <b/>
      <sz val="14"/>
      <color rgb="FF27AE60"/>
      <name val="Arial"/>
      <family val="2"/>
    </font>
    <font>
      <b/>
      <sz val="10"/>
      <color rgb="FF2E75B6"/>
      <name val="Arial"/>
      <family val="2"/>
    </font>
    <font>
      <b/>
      <sz val="9"/>
      <color rgb="FF2E75B6"/>
      <name val="Arial"/>
      <family val="2"/>
    </font>
    <font>
      <b/>
      <sz val="9"/>
      <color rgb="FF3B6D11"/>
      <name val="Arial"/>
      <family val="2"/>
    </font>
    <font>
      <b/>
      <sz val="9"/>
      <color rgb="FFBA7517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3B6D11"/>
      </patternFill>
    </fill>
    <fill>
      <patternFill patternType="solid">
        <fgColor rgb="FFD9EAC8"/>
      </patternFill>
    </fill>
    <fill>
      <patternFill patternType="solid">
        <fgColor rgb="FFBA7517"/>
      </patternFill>
    </fill>
    <fill>
      <patternFill patternType="solid">
        <fgColor rgb="FFFDEBD0"/>
      </patternFill>
    </fill>
    <fill>
      <patternFill patternType="solid">
        <fgColor rgb="FF534AB7"/>
      </patternFill>
    </fill>
    <fill>
      <patternFill patternType="solid">
        <fgColor rgb="FFE8E7F9"/>
      </patternFill>
    </fill>
    <fill>
      <patternFill patternType="solid">
        <fgColor rgb="FF993C1D"/>
      </patternFill>
    </fill>
    <fill>
      <patternFill patternType="solid">
        <fgColor rgb="FFFADBD8"/>
      </patternFill>
    </fill>
    <fill>
      <patternFill patternType="solid">
        <fgColor rgb="FFF2F2F2"/>
      </patternFill>
    </fill>
    <fill>
      <patternFill patternType="solid">
        <fgColor rgb="FFE8E8E8"/>
      </patternFill>
    </fill>
    <fill>
      <patternFill patternType="solid">
        <fgColor rgb="FF0F6E56"/>
      </patternFill>
    </fill>
    <fill>
      <patternFill patternType="solid">
        <fgColor rgb="FFC0392B"/>
      </patternFill>
    </fill>
    <fill>
      <patternFill patternType="solid">
        <fgColor rgb="FFF8F8F8"/>
      </patternFill>
    </fill>
    <fill>
      <patternFill patternType="solid">
        <fgColor rgb="FF27AE6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5" fillId="15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left" vertical="center"/>
    </xf>
    <xf numFmtId="0" fontId="0" fillId="16" borderId="1" xfId="0" applyFill="1" applyBorder="1"/>
    <xf numFmtId="0" fontId="14" fillId="7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9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19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19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19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19" fillId="17" borderId="1" xfId="0" applyFont="1" applyFill="1" applyBorder="1" applyAlignment="1">
      <alignment horizontal="left" vertical="center"/>
    </xf>
    <xf numFmtId="0" fontId="0" fillId="17" borderId="1" xfId="0" applyFill="1" applyBorder="1"/>
    <xf numFmtId="0" fontId="19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20" fillId="4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25" fillId="8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27" fillId="1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8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29" fillId="1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9" fontId="30" fillId="5" borderId="1" xfId="0" applyNumberFormat="1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9" fontId="30" fillId="6" borderId="1" xfId="0" applyNumberFormat="1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/>
    </xf>
    <xf numFmtId="0" fontId="33" fillId="1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13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2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showGridLines="0" tabSelected="1" workbookViewId="0">
      <pane ySplit="3" topLeftCell="A4" activePane="bottomLeft" state="frozen"/>
      <selection pane="bottomLeft" activeCell="J13" sqref="J13"/>
    </sheetView>
  </sheetViews>
  <sheetFormatPr defaultRowHeight="14.4" x14ac:dyDescent="0.3"/>
  <cols>
    <col min="1" max="1" width="12" customWidth="1"/>
    <col min="2" max="2" width="30" customWidth="1"/>
    <col min="3" max="3" width="48" customWidth="1"/>
    <col min="4" max="4" width="22" customWidth="1"/>
    <col min="5" max="6" width="10" customWidth="1"/>
    <col min="7" max="7" width="14" customWidth="1"/>
  </cols>
  <sheetData>
    <row r="1" spans="1:7" ht="21" x14ac:dyDescent="0.3">
      <c r="A1" s="98" t="s">
        <v>0</v>
      </c>
      <c r="B1" s="99"/>
      <c r="C1" s="99"/>
      <c r="D1" s="99"/>
      <c r="E1" s="99"/>
      <c r="F1" s="99"/>
      <c r="G1" s="99"/>
    </row>
    <row r="2" spans="1:7" x14ac:dyDescent="0.3">
      <c r="A2" s="104" t="s">
        <v>1</v>
      </c>
      <c r="B2" s="99"/>
      <c r="C2" s="99"/>
      <c r="D2" s="99"/>
      <c r="E2" s="99"/>
      <c r="F2" s="99"/>
      <c r="G2" s="99"/>
    </row>
    <row r="3" spans="1:7" ht="27.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102" t="s">
        <v>9</v>
      </c>
      <c r="B4" s="99"/>
      <c r="C4" s="99"/>
      <c r="D4" s="99"/>
      <c r="E4" s="99"/>
      <c r="F4" s="99"/>
      <c r="G4" s="99"/>
    </row>
    <row r="5" spans="1:7" x14ac:dyDescent="0.3">
      <c r="A5" s="2" t="s">
        <v>10</v>
      </c>
      <c r="B5" s="3" t="s">
        <v>11</v>
      </c>
      <c r="C5" s="4" t="s">
        <v>12</v>
      </c>
      <c r="D5" s="5" t="s">
        <v>13</v>
      </c>
      <c r="E5" s="6">
        <v>1</v>
      </c>
      <c r="F5" s="6">
        <v>2</v>
      </c>
      <c r="G5" s="7">
        <f>F5-E5+1</f>
        <v>2</v>
      </c>
    </row>
    <row r="6" spans="1:7" x14ac:dyDescent="0.3">
      <c r="A6" s="8" t="s">
        <v>14</v>
      </c>
      <c r="B6" s="9" t="s">
        <v>15</v>
      </c>
      <c r="C6" s="10" t="s">
        <v>16</v>
      </c>
      <c r="D6" s="11" t="s">
        <v>17</v>
      </c>
      <c r="E6" s="12">
        <v>1</v>
      </c>
      <c r="F6" s="12">
        <v>2</v>
      </c>
      <c r="G6" s="13">
        <f>F6-E6+1</f>
        <v>2</v>
      </c>
    </row>
    <row r="7" spans="1:7" x14ac:dyDescent="0.3">
      <c r="A7" s="2" t="s">
        <v>18</v>
      </c>
      <c r="B7" s="3" t="s">
        <v>19</v>
      </c>
      <c r="C7" s="4" t="s">
        <v>20</v>
      </c>
      <c r="D7" s="5" t="s">
        <v>13</v>
      </c>
      <c r="E7" s="6">
        <v>1</v>
      </c>
      <c r="F7" s="6">
        <v>2</v>
      </c>
      <c r="G7" s="7">
        <f>F7-E7+1</f>
        <v>2</v>
      </c>
    </row>
    <row r="8" spans="1:7" x14ac:dyDescent="0.3">
      <c r="A8" s="8" t="s">
        <v>21</v>
      </c>
      <c r="B8" s="9" t="s">
        <v>22</v>
      </c>
      <c r="C8" s="10" t="s">
        <v>23</v>
      </c>
      <c r="D8" s="11" t="s">
        <v>13</v>
      </c>
      <c r="E8" s="12">
        <v>1</v>
      </c>
      <c r="F8" s="12">
        <v>2</v>
      </c>
      <c r="G8" s="13">
        <f>F8-E8+1</f>
        <v>2</v>
      </c>
    </row>
    <row r="9" spans="1:7" x14ac:dyDescent="0.3">
      <c r="A9" s="2" t="s">
        <v>24</v>
      </c>
      <c r="B9" s="3" t="s">
        <v>25</v>
      </c>
      <c r="C9" s="4" t="s">
        <v>26</v>
      </c>
      <c r="D9" s="5" t="s">
        <v>13</v>
      </c>
      <c r="E9" s="6">
        <v>1</v>
      </c>
      <c r="F9" s="6">
        <v>2</v>
      </c>
      <c r="G9" s="7">
        <f>F9-E9+1</f>
        <v>2</v>
      </c>
    </row>
    <row r="10" spans="1:7" x14ac:dyDescent="0.3">
      <c r="A10" s="105" t="s">
        <v>27</v>
      </c>
      <c r="B10" s="99"/>
      <c r="C10" s="99"/>
      <c r="D10" s="99"/>
      <c r="E10" s="99"/>
      <c r="F10" s="99"/>
      <c r="G10" s="99"/>
    </row>
    <row r="11" spans="1:7" x14ac:dyDescent="0.3">
      <c r="A11" s="14" t="s">
        <v>28</v>
      </c>
      <c r="B11" s="15" t="s">
        <v>29</v>
      </c>
      <c r="C11" s="16" t="s">
        <v>30</v>
      </c>
      <c r="D11" s="17" t="s">
        <v>17</v>
      </c>
      <c r="E11" s="18">
        <v>3</v>
      </c>
      <c r="F11" s="18">
        <v>5</v>
      </c>
      <c r="G11" s="19">
        <f>F11-E11+1</f>
        <v>3</v>
      </c>
    </row>
    <row r="12" spans="1:7" x14ac:dyDescent="0.3">
      <c r="A12" s="2" t="s">
        <v>31</v>
      </c>
      <c r="B12" s="3" t="s">
        <v>32</v>
      </c>
      <c r="C12" s="4" t="s">
        <v>33</v>
      </c>
      <c r="D12" s="5" t="s">
        <v>34</v>
      </c>
      <c r="E12" s="6">
        <v>3</v>
      </c>
      <c r="F12" s="6">
        <v>6</v>
      </c>
      <c r="G12" s="7">
        <f>F12-E12+1</f>
        <v>4</v>
      </c>
    </row>
    <row r="13" spans="1:7" x14ac:dyDescent="0.3">
      <c r="A13" s="14" t="s">
        <v>35</v>
      </c>
      <c r="B13" s="15" t="s">
        <v>36</v>
      </c>
      <c r="C13" s="16" t="s">
        <v>37</v>
      </c>
      <c r="D13" s="17" t="s">
        <v>17</v>
      </c>
      <c r="E13" s="18">
        <v>5</v>
      </c>
      <c r="F13" s="18">
        <v>8</v>
      </c>
      <c r="G13" s="19">
        <f>F13-E13+1</f>
        <v>4</v>
      </c>
    </row>
    <row r="14" spans="1:7" x14ac:dyDescent="0.3">
      <c r="A14" s="2" t="s">
        <v>38</v>
      </c>
      <c r="B14" s="3" t="s">
        <v>39</v>
      </c>
      <c r="C14" s="4" t="s">
        <v>40</v>
      </c>
      <c r="D14" s="5" t="s">
        <v>17</v>
      </c>
      <c r="E14" s="6">
        <v>6</v>
      </c>
      <c r="F14" s="6">
        <v>8</v>
      </c>
      <c r="G14" s="7">
        <f>F14-E14+1</f>
        <v>3</v>
      </c>
    </row>
    <row r="15" spans="1:7" x14ac:dyDescent="0.3">
      <c r="A15" s="14" t="s">
        <v>41</v>
      </c>
      <c r="B15" s="15" t="s">
        <v>42</v>
      </c>
      <c r="C15" s="16" t="s">
        <v>43</v>
      </c>
      <c r="D15" s="17" t="s">
        <v>13</v>
      </c>
      <c r="E15" s="18">
        <v>8</v>
      </c>
      <c r="F15" s="18">
        <v>8</v>
      </c>
      <c r="G15" s="19">
        <f>F15-E15+1</f>
        <v>1</v>
      </c>
    </row>
    <row r="16" spans="1:7" x14ac:dyDescent="0.3">
      <c r="A16" s="103" t="s">
        <v>44</v>
      </c>
      <c r="B16" s="99"/>
      <c r="C16" s="99"/>
      <c r="D16" s="99"/>
      <c r="E16" s="99"/>
      <c r="F16" s="99"/>
      <c r="G16" s="99"/>
    </row>
    <row r="17" spans="1:7" x14ac:dyDescent="0.3">
      <c r="A17" s="2" t="s">
        <v>45</v>
      </c>
      <c r="B17" s="3" t="s">
        <v>46</v>
      </c>
      <c r="C17" s="4" t="s">
        <v>47</v>
      </c>
      <c r="D17" s="5" t="s">
        <v>34</v>
      </c>
      <c r="E17" s="6">
        <v>9</v>
      </c>
      <c r="F17" s="6">
        <v>11</v>
      </c>
      <c r="G17" s="7">
        <f>F17-E17+1</f>
        <v>3</v>
      </c>
    </row>
    <row r="18" spans="1:7" ht="26.4" x14ac:dyDescent="0.3">
      <c r="A18" s="20" t="s">
        <v>48</v>
      </c>
      <c r="B18" s="21" t="s">
        <v>49</v>
      </c>
      <c r="C18" s="22" t="s">
        <v>50</v>
      </c>
      <c r="D18" s="23" t="s">
        <v>13</v>
      </c>
      <c r="E18" s="24">
        <v>9</v>
      </c>
      <c r="F18" s="24">
        <v>11</v>
      </c>
      <c r="G18" s="25">
        <f>F18-E18+1</f>
        <v>3</v>
      </c>
    </row>
    <row r="19" spans="1:7" x14ac:dyDescent="0.3">
      <c r="A19" s="2" t="s">
        <v>51</v>
      </c>
      <c r="B19" s="3" t="s">
        <v>52</v>
      </c>
      <c r="C19" s="4" t="s">
        <v>53</v>
      </c>
      <c r="D19" s="5" t="s">
        <v>34</v>
      </c>
      <c r="E19" s="6">
        <v>11</v>
      </c>
      <c r="F19" s="6">
        <v>13</v>
      </c>
      <c r="G19" s="7">
        <f>F19-E19+1</f>
        <v>3</v>
      </c>
    </row>
    <row r="20" spans="1:7" ht="26.4" x14ac:dyDescent="0.3">
      <c r="A20" s="20" t="s">
        <v>54</v>
      </c>
      <c r="B20" s="21" t="s">
        <v>55</v>
      </c>
      <c r="C20" s="22" t="s">
        <v>56</v>
      </c>
      <c r="D20" s="23" t="s">
        <v>34</v>
      </c>
      <c r="E20" s="24">
        <v>13</v>
      </c>
      <c r="F20" s="24">
        <v>15</v>
      </c>
      <c r="G20" s="25">
        <f>F20-E20+1</f>
        <v>3</v>
      </c>
    </row>
    <row r="21" spans="1:7" x14ac:dyDescent="0.3">
      <c r="A21" s="2" t="s">
        <v>57</v>
      </c>
      <c r="B21" s="3" t="s">
        <v>58</v>
      </c>
      <c r="C21" s="4" t="s">
        <v>59</v>
      </c>
      <c r="D21" s="5" t="s">
        <v>60</v>
      </c>
      <c r="E21" s="6">
        <v>12</v>
      </c>
      <c r="F21" s="6">
        <v>15</v>
      </c>
      <c r="G21" s="7">
        <f>F21-E21+1</f>
        <v>4</v>
      </c>
    </row>
    <row r="22" spans="1:7" x14ac:dyDescent="0.3">
      <c r="A22" s="101" t="s">
        <v>61</v>
      </c>
      <c r="B22" s="99"/>
      <c r="C22" s="99"/>
      <c r="D22" s="99"/>
      <c r="E22" s="99"/>
      <c r="F22" s="99"/>
      <c r="G22" s="99"/>
    </row>
    <row r="23" spans="1:7" x14ac:dyDescent="0.3">
      <c r="A23" s="26" t="s">
        <v>62</v>
      </c>
      <c r="B23" s="27" t="s">
        <v>63</v>
      </c>
      <c r="C23" s="28" t="s">
        <v>64</v>
      </c>
      <c r="D23" s="29" t="s">
        <v>65</v>
      </c>
      <c r="E23" s="30">
        <v>6</v>
      </c>
      <c r="F23" s="30">
        <v>9</v>
      </c>
      <c r="G23" s="31">
        <f>F23-E23+1</f>
        <v>4</v>
      </c>
    </row>
    <row r="24" spans="1:7" x14ac:dyDescent="0.3">
      <c r="A24" s="2" t="s">
        <v>66</v>
      </c>
      <c r="B24" s="3" t="s">
        <v>67</v>
      </c>
      <c r="C24" s="4" t="s">
        <v>68</v>
      </c>
      <c r="D24" s="5" t="s">
        <v>65</v>
      </c>
      <c r="E24" s="6">
        <v>9</v>
      </c>
      <c r="F24" s="6">
        <v>12</v>
      </c>
      <c r="G24" s="7">
        <f>F24-E24+1</f>
        <v>4</v>
      </c>
    </row>
    <row r="25" spans="1:7" x14ac:dyDescent="0.3">
      <c r="A25" s="26" t="s">
        <v>69</v>
      </c>
      <c r="B25" s="27" t="s">
        <v>70</v>
      </c>
      <c r="C25" s="28" t="s">
        <v>71</v>
      </c>
      <c r="D25" s="29" t="s">
        <v>65</v>
      </c>
      <c r="E25" s="30">
        <v>11</v>
      </c>
      <c r="F25" s="30">
        <v>14</v>
      </c>
      <c r="G25" s="31">
        <f>F25-E25+1</f>
        <v>4</v>
      </c>
    </row>
    <row r="26" spans="1:7" x14ac:dyDescent="0.3">
      <c r="A26" s="2" t="s">
        <v>72</v>
      </c>
      <c r="B26" s="3" t="s">
        <v>73</v>
      </c>
      <c r="C26" s="4" t="s">
        <v>74</v>
      </c>
      <c r="D26" s="5" t="s">
        <v>65</v>
      </c>
      <c r="E26" s="6">
        <v>14</v>
      </c>
      <c r="F26" s="6">
        <v>14</v>
      </c>
      <c r="G26" s="7">
        <f>F26-E26+1</f>
        <v>1</v>
      </c>
    </row>
    <row r="27" spans="1:7" x14ac:dyDescent="0.3">
      <c r="A27" s="100" t="s">
        <v>75</v>
      </c>
      <c r="B27" s="99"/>
      <c r="C27" s="99"/>
      <c r="D27" s="99"/>
      <c r="E27" s="99"/>
      <c r="F27" s="99"/>
      <c r="G27" s="99"/>
    </row>
    <row r="28" spans="1:7" ht="26.4" x14ac:dyDescent="0.3">
      <c r="A28" s="32" t="s">
        <v>76</v>
      </c>
      <c r="B28" s="33" t="s">
        <v>77</v>
      </c>
      <c r="C28" s="34" t="s">
        <v>78</v>
      </c>
      <c r="D28" s="35" t="s">
        <v>13</v>
      </c>
      <c r="E28" s="36">
        <v>16</v>
      </c>
      <c r="F28" s="36">
        <v>17</v>
      </c>
      <c r="G28" s="37">
        <f>F28-E28+1</f>
        <v>2</v>
      </c>
    </row>
    <row r="29" spans="1:7" x14ac:dyDescent="0.3">
      <c r="A29" s="2" t="s">
        <v>79</v>
      </c>
      <c r="B29" s="3" t="s">
        <v>80</v>
      </c>
      <c r="C29" s="4" t="s">
        <v>81</v>
      </c>
      <c r="D29" s="5" t="s">
        <v>13</v>
      </c>
      <c r="E29" s="6">
        <v>16</v>
      </c>
      <c r="F29" s="6">
        <v>18</v>
      </c>
      <c r="G29" s="7">
        <f>F29-E29+1</f>
        <v>3</v>
      </c>
    </row>
    <row r="30" spans="1:7" x14ac:dyDescent="0.3">
      <c r="A30" s="32" t="s">
        <v>82</v>
      </c>
      <c r="B30" s="33" t="s">
        <v>83</v>
      </c>
      <c r="C30" s="34" t="s">
        <v>84</v>
      </c>
      <c r="D30" s="35" t="s">
        <v>13</v>
      </c>
      <c r="E30" s="36">
        <v>18</v>
      </c>
      <c r="F30" s="36">
        <v>18</v>
      </c>
      <c r="G30" s="37">
        <f>F30-E30+1</f>
        <v>1</v>
      </c>
    </row>
    <row r="31" spans="1:7" x14ac:dyDescent="0.3">
      <c r="A31" s="2" t="s">
        <v>85</v>
      </c>
      <c r="B31" s="3" t="s">
        <v>86</v>
      </c>
      <c r="C31" s="4" t="s">
        <v>87</v>
      </c>
      <c r="D31" s="5" t="s">
        <v>13</v>
      </c>
      <c r="E31" s="6">
        <v>18</v>
      </c>
      <c r="F31" s="6">
        <v>18</v>
      </c>
      <c r="G31" s="7">
        <f>F31-E31+1</f>
        <v>1</v>
      </c>
    </row>
  </sheetData>
  <mergeCells count="7">
    <mergeCell ref="A1:G1"/>
    <mergeCell ref="A27:G27"/>
    <mergeCell ref="A22:G22"/>
    <mergeCell ref="A4:G4"/>
    <mergeCell ref="A16:G16"/>
    <mergeCell ref="A2:G2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C9" sqref="C9"/>
    </sheetView>
  </sheetViews>
  <sheetFormatPr defaultRowHeight="14.4" x14ac:dyDescent="0.3"/>
  <cols>
    <col min="1" max="2" width="26" customWidth="1"/>
    <col min="3" max="3" width="10" customWidth="1"/>
    <col min="4" max="4" width="26" customWidth="1"/>
    <col min="5" max="22" width="5" customWidth="1"/>
  </cols>
  <sheetData>
    <row r="1" spans="1:22" ht="36" customHeight="1" x14ac:dyDescent="0.3">
      <c r="A1" s="98" t="s">
        <v>88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</row>
    <row r="2" spans="1:22" ht="18" customHeight="1" x14ac:dyDescent="0.3">
      <c r="A2" s="104" t="s">
        <v>89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</row>
    <row r="3" spans="1:22" ht="30" customHeight="1" x14ac:dyDescent="0.3">
      <c r="A3" s="38" t="s">
        <v>90</v>
      </c>
      <c r="B3" s="38" t="s">
        <v>91</v>
      </c>
      <c r="C3" s="38" t="s">
        <v>92</v>
      </c>
      <c r="D3" s="38" t="s">
        <v>93</v>
      </c>
      <c r="E3" s="39" t="s">
        <v>94</v>
      </c>
      <c r="F3" s="39" t="s">
        <v>95</v>
      </c>
      <c r="G3" s="39" t="s">
        <v>96</v>
      </c>
      <c r="H3" s="39" t="s">
        <v>97</v>
      </c>
      <c r="I3" s="39" t="s">
        <v>98</v>
      </c>
      <c r="J3" s="39" t="s">
        <v>99</v>
      </c>
      <c r="K3" s="39" t="s">
        <v>100</v>
      </c>
      <c r="L3" s="39" t="s">
        <v>101</v>
      </c>
      <c r="M3" s="39" t="s">
        <v>102</v>
      </c>
      <c r="N3" s="39" t="s">
        <v>103</v>
      </c>
      <c r="O3" s="39" t="s">
        <v>104</v>
      </c>
      <c r="P3" s="39" t="s">
        <v>105</v>
      </c>
      <c r="Q3" s="39" t="s">
        <v>106</v>
      </c>
      <c r="R3" s="39" t="s">
        <v>95</v>
      </c>
      <c r="S3" s="39" t="s">
        <v>96</v>
      </c>
      <c r="T3" s="39" t="s">
        <v>97</v>
      </c>
      <c r="U3" s="39" t="s">
        <v>98</v>
      </c>
      <c r="V3" s="39" t="s">
        <v>107</v>
      </c>
    </row>
    <row r="4" spans="1:22" ht="22.05" customHeight="1" x14ac:dyDescent="0.3">
      <c r="A4" s="3" t="s">
        <v>108</v>
      </c>
      <c r="B4" s="40" t="s">
        <v>109</v>
      </c>
      <c r="C4" s="41" t="s">
        <v>265</v>
      </c>
      <c r="D4" s="42" t="s">
        <v>110</v>
      </c>
      <c r="E4" s="43" t="s">
        <v>111</v>
      </c>
      <c r="F4" s="43" t="s">
        <v>111</v>
      </c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</row>
    <row r="5" spans="1:22" ht="22.05" customHeight="1" x14ac:dyDescent="0.3">
      <c r="A5" s="45" t="s">
        <v>112</v>
      </c>
      <c r="B5" s="46" t="s">
        <v>113</v>
      </c>
      <c r="C5" s="47" t="s">
        <v>266</v>
      </c>
      <c r="D5" s="48" t="s">
        <v>114</v>
      </c>
      <c r="E5" s="49"/>
      <c r="F5" s="49"/>
      <c r="G5" s="50" t="s">
        <v>111</v>
      </c>
      <c r="H5" s="50" t="s">
        <v>111</v>
      </c>
      <c r="I5" s="50" t="s">
        <v>111</v>
      </c>
      <c r="J5" s="50" t="s">
        <v>111</v>
      </c>
      <c r="K5" s="50" t="s">
        <v>111</v>
      </c>
      <c r="L5" s="50" t="s">
        <v>111</v>
      </c>
      <c r="M5" s="49"/>
      <c r="N5" s="49"/>
      <c r="O5" s="49"/>
      <c r="P5" s="49"/>
      <c r="Q5" s="49"/>
      <c r="R5" s="49"/>
      <c r="S5" s="49"/>
      <c r="T5" s="49"/>
      <c r="U5" s="49"/>
      <c r="V5" s="49"/>
    </row>
    <row r="6" spans="1:22" ht="22.05" customHeight="1" x14ac:dyDescent="0.3">
      <c r="A6" s="3" t="s">
        <v>115</v>
      </c>
      <c r="B6" s="40" t="s">
        <v>116</v>
      </c>
      <c r="C6" s="41" t="s">
        <v>267</v>
      </c>
      <c r="D6" s="42" t="s">
        <v>117</v>
      </c>
      <c r="E6" s="44"/>
      <c r="F6" s="44"/>
      <c r="G6" s="44"/>
      <c r="H6" s="44"/>
      <c r="I6" s="44"/>
      <c r="J6" s="51" t="s">
        <v>111</v>
      </c>
      <c r="K6" s="51" t="s">
        <v>111</v>
      </c>
      <c r="L6" s="51" t="s">
        <v>111</v>
      </c>
      <c r="M6" s="51" t="s">
        <v>111</v>
      </c>
      <c r="N6" s="51" t="s">
        <v>111</v>
      </c>
      <c r="O6" s="51" t="s">
        <v>111</v>
      </c>
      <c r="P6" s="51" t="s">
        <v>111</v>
      </c>
      <c r="Q6" s="51" t="s">
        <v>111</v>
      </c>
      <c r="R6" s="51" t="s">
        <v>111</v>
      </c>
      <c r="S6" s="44"/>
      <c r="T6" s="44"/>
      <c r="U6" s="44"/>
      <c r="V6" s="44"/>
    </row>
    <row r="7" spans="1:22" ht="22.05" customHeight="1" x14ac:dyDescent="0.3">
      <c r="A7" s="45" t="s">
        <v>118</v>
      </c>
      <c r="B7" s="46" t="s">
        <v>119</v>
      </c>
      <c r="C7" s="47" t="s">
        <v>268</v>
      </c>
      <c r="D7" s="48" t="s">
        <v>120</v>
      </c>
      <c r="E7" s="49"/>
      <c r="F7" s="49"/>
      <c r="G7" s="49"/>
      <c r="H7" s="49"/>
      <c r="I7" s="49"/>
      <c r="J7" s="49"/>
      <c r="K7" s="49"/>
      <c r="L7" s="49"/>
      <c r="M7" s="52" t="s">
        <v>111</v>
      </c>
      <c r="N7" s="52" t="s">
        <v>111</v>
      </c>
      <c r="O7" s="52" t="s">
        <v>111</v>
      </c>
      <c r="P7" s="52" t="s">
        <v>111</v>
      </c>
      <c r="Q7" s="52" t="s">
        <v>111</v>
      </c>
      <c r="R7" s="52" t="s">
        <v>111</v>
      </c>
      <c r="S7" s="52" t="s">
        <v>111</v>
      </c>
      <c r="T7" s="49"/>
      <c r="U7" s="49"/>
      <c r="V7" s="49"/>
    </row>
    <row r="8" spans="1:22" ht="22.05" customHeight="1" x14ac:dyDescent="0.3">
      <c r="A8" s="3" t="s">
        <v>121</v>
      </c>
      <c r="B8" s="40" t="s">
        <v>122</v>
      </c>
      <c r="C8" s="41" t="s">
        <v>269</v>
      </c>
      <c r="D8" s="42" t="s">
        <v>123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53" t="s">
        <v>111</v>
      </c>
      <c r="Q8" s="53" t="s">
        <v>111</v>
      </c>
      <c r="R8" s="53" t="s">
        <v>111</v>
      </c>
      <c r="S8" s="53" t="s">
        <v>111</v>
      </c>
      <c r="T8" s="53" t="s">
        <v>111</v>
      </c>
      <c r="U8" s="44"/>
      <c r="V8" s="44"/>
    </row>
    <row r="9" spans="1:22" ht="22.05" customHeight="1" x14ac:dyDescent="0.3">
      <c r="A9" s="45" t="s">
        <v>124</v>
      </c>
      <c r="B9" s="46" t="s">
        <v>125</v>
      </c>
      <c r="C9" s="47" t="s">
        <v>270</v>
      </c>
      <c r="D9" s="48" t="s">
        <v>126</v>
      </c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54" t="s">
        <v>111</v>
      </c>
      <c r="U9" s="54" t="s">
        <v>111</v>
      </c>
      <c r="V9" s="54" t="s">
        <v>111</v>
      </c>
    </row>
    <row r="10" spans="1:22" ht="7.95" customHeight="1" x14ac:dyDescent="0.3"/>
    <row r="11" spans="1:22" ht="19.95" customHeight="1" x14ac:dyDescent="0.3">
      <c r="A11" s="107" t="s">
        <v>127</v>
      </c>
      <c r="B11" s="99"/>
      <c r="C11" s="99"/>
      <c r="D11" s="99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</row>
    <row r="13" spans="1:22" x14ac:dyDescent="0.3">
      <c r="A13" s="106" t="s">
        <v>128</v>
      </c>
      <c r="B13" s="99"/>
    </row>
    <row r="14" spans="1:22" ht="16.05" customHeight="1" x14ac:dyDescent="0.3">
      <c r="A14" s="56" t="s">
        <v>129</v>
      </c>
      <c r="B14" s="57"/>
    </row>
    <row r="15" spans="1:22" ht="16.05" customHeight="1" x14ac:dyDescent="0.3">
      <c r="A15" s="58" t="s">
        <v>130</v>
      </c>
      <c r="B15" s="59"/>
    </row>
    <row r="16" spans="1:22" ht="16.05" customHeight="1" x14ac:dyDescent="0.3">
      <c r="A16" s="60" t="s">
        <v>131</v>
      </c>
      <c r="B16" s="61"/>
    </row>
    <row r="17" spans="1:2" ht="16.05" customHeight="1" x14ac:dyDescent="0.3">
      <c r="A17" s="62" t="s">
        <v>132</v>
      </c>
      <c r="B17" s="63"/>
    </row>
    <row r="18" spans="1:2" ht="16.05" customHeight="1" x14ac:dyDescent="0.3">
      <c r="A18" s="64" t="s">
        <v>133</v>
      </c>
      <c r="B18" s="65"/>
    </row>
    <row r="19" spans="1:2" ht="16.05" customHeight="1" x14ac:dyDescent="0.3">
      <c r="A19" s="66" t="s">
        <v>134</v>
      </c>
      <c r="B19" s="67"/>
    </row>
  </sheetData>
  <mergeCells count="4">
    <mergeCell ref="A2:V2"/>
    <mergeCell ref="A13:B13"/>
    <mergeCell ref="A1:V1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showGridLines="0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24" customWidth="1"/>
    <col min="3" max="3" width="36" customWidth="1"/>
    <col min="4" max="4" width="10" customWidth="1"/>
    <col min="5" max="6" width="12" customWidth="1"/>
    <col min="7" max="7" width="36" customWidth="1"/>
    <col min="8" max="8" width="18" customWidth="1"/>
  </cols>
  <sheetData>
    <row r="1" spans="1:8" ht="36" customHeight="1" x14ac:dyDescent="0.3">
      <c r="A1" s="98" t="s">
        <v>135</v>
      </c>
      <c r="B1" s="99"/>
      <c r="C1" s="99"/>
      <c r="D1" s="99"/>
      <c r="E1" s="99"/>
      <c r="F1" s="99"/>
      <c r="G1" s="99"/>
      <c r="H1" s="99"/>
    </row>
    <row r="2" spans="1:8" ht="18" customHeight="1" x14ac:dyDescent="0.3">
      <c r="A2" s="104" t="s">
        <v>136</v>
      </c>
      <c r="B2" s="99"/>
      <c r="C2" s="99"/>
      <c r="D2" s="99"/>
      <c r="E2" s="99"/>
      <c r="F2" s="99"/>
      <c r="G2" s="99"/>
      <c r="H2" s="99"/>
    </row>
    <row r="3" spans="1:8" ht="22.05" customHeight="1" x14ac:dyDescent="0.3">
      <c r="A3" s="1" t="s">
        <v>137</v>
      </c>
      <c r="B3" s="1" t="s">
        <v>138</v>
      </c>
      <c r="C3" s="1" t="s">
        <v>139</v>
      </c>
      <c r="D3" s="1" t="s">
        <v>140</v>
      </c>
      <c r="E3" s="1" t="s">
        <v>141</v>
      </c>
      <c r="F3" s="1" t="s">
        <v>142</v>
      </c>
      <c r="G3" s="1" t="s">
        <v>143</v>
      </c>
      <c r="H3" s="1" t="s">
        <v>144</v>
      </c>
    </row>
    <row r="4" spans="1:8" ht="19.95" customHeight="1" x14ac:dyDescent="0.3">
      <c r="A4" s="41" t="s">
        <v>145</v>
      </c>
      <c r="B4" s="3" t="s">
        <v>13</v>
      </c>
      <c r="C4" s="4" t="s">
        <v>146</v>
      </c>
      <c r="D4" s="7" t="s">
        <v>147</v>
      </c>
      <c r="E4" s="7" t="s">
        <v>147</v>
      </c>
      <c r="F4" s="68" t="s">
        <v>148</v>
      </c>
      <c r="G4" s="4" t="s">
        <v>149</v>
      </c>
      <c r="H4" s="6" t="s">
        <v>150</v>
      </c>
    </row>
    <row r="5" spans="1:8" ht="19.95" customHeight="1" x14ac:dyDescent="0.3">
      <c r="A5" s="69" t="s">
        <v>151</v>
      </c>
      <c r="B5" s="9" t="s">
        <v>152</v>
      </c>
      <c r="C5" s="10" t="s">
        <v>153</v>
      </c>
      <c r="D5" s="13" t="s">
        <v>147</v>
      </c>
      <c r="E5" s="13" t="s">
        <v>147</v>
      </c>
      <c r="F5" s="70" t="s">
        <v>154</v>
      </c>
      <c r="G5" s="10" t="s">
        <v>155</v>
      </c>
      <c r="H5" s="12" t="s">
        <v>150</v>
      </c>
    </row>
    <row r="6" spans="1:8" ht="19.95" customHeight="1" x14ac:dyDescent="0.3">
      <c r="A6" s="41" t="s">
        <v>156</v>
      </c>
      <c r="B6" s="3" t="s">
        <v>34</v>
      </c>
      <c r="C6" s="4" t="s">
        <v>157</v>
      </c>
      <c r="D6" s="7" t="s">
        <v>147</v>
      </c>
      <c r="E6" s="7" t="s">
        <v>147</v>
      </c>
      <c r="F6" s="70" t="s">
        <v>154</v>
      </c>
      <c r="G6" s="4" t="s">
        <v>158</v>
      </c>
      <c r="H6" s="6" t="s">
        <v>159</v>
      </c>
    </row>
    <row r="7" spans="1:8" ht="19.95" customHeight="1" x14ac:dyDescent="0.3">
      <c r="A7" s="69" t="s">
        <v>160</v>
      </c>
      <c r="B7" s="9" t="s">
        <v>161</v>
      </c>
      <c r="C7" s="10" t="s">
        <v>162</v>
      </c>
      <c r="D7" s="13" t="s">
        <v>147</v>
      </c>
      <c r="E7" s="71" t="s">
        <v>163</v>
      </c>
      <c r="F7" s="70" t="s">
        <v>154</v>
      </c>
      <c r="G7" s="10" t="s">
        <v>164</v>
      </c>
      <c r="H7" s="12" t="s">
        <v>165</v>
      </c>
    </row>
    <row r="8" spans="1:8" ht="19.95" customHeight="1" x14ac:dyDescent="0.3">
      <c r="A8" s="41" t="s">
        <v>166</v>
      </c>
      <c r="B8" s="3" t="s">
        <v>60</v>
      </c>
      <c r="C8" s="4" t="s">
        <v>167</v>
      </c>
      <c r="D8" s="72" t="s">
        <v>163</v>
      </c>
      <c r="E8" s="7" t="s">
        <v>147</v>
      </c>
      <c r="F8" s="73" t="s">
        <v>168</v>
      </c>
      <c r="G8" s="4" t="s">
        <v>169</v>
      </c>
      <c r="H8" s="6" t="s">
        <v>170</v>
      </c>
    </row>
    <row r="9" spans="1:8" ht="19.95" customHeight="1" x14ac:dyDescent="0.3">
      <c r="A9" s="69" t="s">
        <v>171</v>
      </c>
      <c r="B9" s="9" t="s">
        <v>172</v>
      </c>
      <c r="C9" s="10" t="s">
        <v>173</v>
      </c>
      <c r="D9" s="71" t="s">
        <v>163</v>
      </c>
      <c r="E9" s="74" t="s">
        <v>174</v>
      </c>
      <c r="F9" s="75" t="s">
        <v>175</v>
      </c>
      <c r="G9" s="10" t="s">
        <v>176</v>
      </c>
      <c r="H9" s="12" t="s">
        <v>177</v>
      </c>
    </row>
    <row r="10" spans="1:8" ht="19.95" customHeight="1" x14ac:dyDescent="0.3">
      <c r="A10" s="41" t="s">
        <v>178</v>
      </c>
      <c r="B10" s="3" t="s">
        <v>179</v>
      </c>
      <c r="C10" s="4" t="s">
        <v>180</v>
      </c>
      <c r="D10" s="72" t="s">
        <v>181</v>
      </c>
      <c r="E10" s="76" t="s">
        <v>174</v>
      </c>
      <c r="F10" s="77" t="s">
        <v>182</v>
      </c>
      <c r="G10" s="4" t="s">
        <v>183</v>
      </c>
      <c r="H10" s="6" t="s">
        <v>184</v>
      </c>
    </row>
    <row r="11" spans="1:8" ht="19.95" customHeight="1" x14ac:dyDescent="0.3">
      <c r="A11" s="69" t="s">
        <v>185</v>
      </c>
      <c r="B11" s="9" t="s">
        <v>186</v>
      </c>
      <c r="C11" s="10" t="s">
        <v>187</v>
      </c>
      <c r="D11" s="71" t="s">
        <v>181</v>
      </c>
      <c r="E11" s="71" t="s">
        <v>163</v>
      </c>
      <c r="F11" s="77" t="s">
        <v>182</v>
      </c>
      <c r="G11" s="10" t="s">
        <v>188</v>
      </c>
      <c r="H11" s="12" t="s">
        <v>189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showGridLines="0" workbookViewId="0">
      <pane ySplit="3" topLeftCell="A4" activePane="bottomLeft" state="frozen"/>
      <selection pane="bottomLeft" sqref="A1:XFD1048576"/>
    </sheetView>
  </sheetViews>
  <sheetFormatPr defaultRowHeight="14.4" x14ac:dyDescent="0.3"/>
  <cols>
    <col min="1" max="1" width="10" customWidth="1"/>
    <col min="2" max="2" width="36" customWidth="1"/>
    <col min="3" max="3" width="12" customWidth="1"/>
    <col min="4" max="4" width="14" customWidth="1"/>
    <col min="5" max="5" width="12" customWidth="1"/>
    <col min="6" max="6" width="48" customWidth="1"/>
    <col min="7" max="7" width="18" customWidth="1"/>
  </cols>
  <sheetData>
    <row r="1" spans="1:7" ht="21" x14ac:dyDescent="0.3">
      <c r="A1" s="98" t="s">
        <v>190</v>
      </c>
      <c r="B1" s="99"/>
      <c r="C1" s="99"/>
      <c r="D1" s="99"/>
      <c r="E1" s="99"/>
      <c r="F1" s="99"/>
      <c r="G1" s="99"/>
    </row>
    <row r="2" spans="1:7" x14ac:dyDescent="0.3">
      <c r="A2" s="104" t="s">
        <v>191</v>
      </c>
      <c r="B2" s="99"/>
      <c r="C2" s="99"/>
      <c r="D2" s="99"/>
      <c r="E2" s="99"/>
      <c r="F2" s="99"/>
      <c r="G2" s="99"/>
    </row>
    <row r="3" spans="1:7" x14ac:dyDescent="0.3">
      <c r="A3" s="1" t="s">
        <v>192</v>
      </c>
      <c r="B3" s="1" t="s">
        <v>4</v>
      </c>
      <c r="C3" s="1" t="s">
        <v>193</v>
      </c>
      <c r="D3" s="1" t="s">
        <v>194</v>
      </c>
      <c r="E3" s="1" t="s">
        <v>195</v>
      </c>
      <c r="F3" s="1" t="s">
        <v>196</v>
      </c>
      <c r="G3" s="1" t="s">
        <v>5</v>
      </c>
    </row>
    <row r="4" spans="1:7" ht="26.4" x14ac:dyDescent="0.3">
      <c r="A4" s="2" t="s">
        <v>197</v>
      </c>
      <c r="B4" s="4" t="s">
        <v>198</v>
      </c>
      <c r="C4" s="6" t="s">
        <v>163</v>
      </c>
      <c r="D4" s="6" t="s">
        <v>147</v>
      </c>
      <c r="E4" s="78" t="s">
        <v>147</v>
      </c>
      <c r="F4" s="4" t="s">
        <v>199</v>
      </c>
      <c r="G4" s="5" t="s">
        <v>17</v>
      </c>
    </row>
    <row r="5" spans="1:7" ht="26.4" x14ac:dyDescent="0.3">
      <c r="A5" s="79" t="s">
        <v>200</v>
      </c>
      <c r="B5" s="80" t="s">
        <v>201</v>
      </c>
      <c r="C5" s="81" t="s">
        <v>163</v>
      </c>
      <c r="D5" s="81" t="s">
        <v>163</v>
      </c>
      <c r="E5" s="82" t="s">
        <v>163</v>
      </c>
      <c r="F5" s="80" t="s">
        <v>202</v>
      </c>
      <c r="G5" s="83" t="s">
        <v>13</v>
      </c>
    </row>
    <row r="6" spans="1:7" ht="26.4" x14ac:dyDescent="0.3">
      <c r="A6" s="2" t="s">
        <v>203</v>
      </c>
      <c r="B6" s="4" t="s">
        <v>204</v>
      </c>
      <c r="C6" s="6" t="s">
        <v>181</v>
      </c>
      <c r="D6" s="6" t="s">
        <v>174</v>
      </c>
      <c r="E6" s="78" t="s">
        <v>147</v>
      </c>
      <c r="F6" s="4" t="s">
        <v>205</v>
      </c>
      <c r="G6" s="5" t="s">
        <v>65</v>
      </c>
    </row>
    <row r="7" spans="1:7" ht="26.4" x14ac:dyDescent="0.3">
      <c r="A7" s="79" t="s">
        <v>206</v>
      </c>
      <c r="B7" s="80" t="s">
        <v>207</v>
      </c>
      <c r="C7" s="81" t="s">
        <v>163</v>
      </c>
      <c r="D7" s="81" t="s">
        <v>147</v>
      </c>
      <c r="E7" s="78" t="s">
        <v>147</v>
      </c>
      <c r="F7" s="80" t="s">
        <v>208</v>
      </c>
      <c r="G7" s="83" t="s">
        <v>13</v>
      </c>
    </row>
    <row r="8" spans="1:7" ht="26.4" x14ac:dyDescent="0.3">
      <c r="A8" s="2" t="s">
        <v>209</v>
      </c>
      <c r="B8" s="4" t="s">
        <v>210</v>
      </c>
      <c r="C8" s="6" t="s">
        <v>181</v>
      </c>
      <c r="D8" s="6" t="s">
        <v>163</v>
      </c>
      <c r="E8" s="82" t="s">
        <v>163</v>
      </c>
      <c r="F8" s="4" t="s">
        <v>211</v>
      </c>
      <c r="G8" s="5" t="s">
        <v>13</v>
      </c>
    </row>
    <row r="9" spans="1:7" ht="26.4" x14ac:dyDescent="0.3">
      <c r="A9" s="79" t="s">
        <v>212</v>
      </c>
      <c r="B9" s="80" t="s">
        <v>213</v>
      </c>
      <c r="C9" s="81" t="s">
        <v>181</v>
      </c>
      <c r="D9" s="81" t="s">
        <v>174</v>
      </c>
      <c r="E9" s="78" t="s">
        <v>147</v>
      </c>
      <c r="F9" s="80" t="s">
        <v>214</v>
      </c>
      <c r="G9" s="83" t="s">
        <v>60</v>
      </c>
    </row>
    <row r="10" spans="1:7" ht="26.4" x14ac:dyDescent="0.3">
      <c r="A10" s="2" t="s">
        <v>215</v>
      </c>
      <c r="B10" s="4" t="s">
        <v>216</v>
      </c>
      <c r="C10" s="6" t="s">
        <v>163</v>
      </c>
      <c r="D10" s="6" t="s">
        <v>147</v>
      </c>
      <c r="E10" s="78" t="s">
        <v>147</v>
      </c>
      <c r="F10" s="4" t="s">
        <v>217</v>
      </c>
      <c r="G10" s="5" t="s">
        <v>218</v>
      </c>
    </row>
    <row r="11" spans="1:7" ht="26.4" x14ac:dyDescent="0.3">
      <c r="A11" s="79" t="s">
        <v>219</v>
      </c>
      <c r="B11" s="80" t="s">
        <v>220</v>
      </c>
      <c r="C11" s="81" t="s">
        <v>181</v>
      </c>
      <c r="D11" s="81" t="s">
        <v>163</v>
      </c>
      <c r="E11" s="84" t="s">
        <v>181</v>
      </c>
      <c r="F11" s="80" t="s">
        <v>221</v>
      </c>
      <c r="G11" s="83" t="s">
        <v>186</v>
      </c>
    </row>
    <row r="14" spans="1:7" ht="15.6" x14ac:dyDescent="0.3">
      <c r="A14" s="108" t="s">
        <v>222</v>
      </c>
      <c r="B14" s="99"/>
      <c r="C14" s="99"/>
      <c r="D14" s="99"/>
      <c r="E14" s="99"/>
      <c r="F14" s="99"/>
      <c r="G14" s="99"/>
    </row>
    <row r="15" spans="1:7" ht="17.399999999999999" x14ac:dyDescent="0.3">
      <c r="A15" s="85" t="s">
        <v>223</v>
      </c>
      <c r="B15" s="86">
        <v>4</v>
      </c>
      <c r="C15" s="87" t="s">
        <v>224</v>
      </c>
      <c r="D15" s="88">
        <v>2</v>
      </c>
      <c r="E15" s="89" t="s">
        <v>225</v>
      </c>
      <c r="F15" s="90">
        <v>1</v>
      </c>
    </row>
  </sheetData>
  <mergeCells count="3">
    <mergeCell ref="A14:G14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showGridLines="0" workbookViewId="0">
      <pane ySplit="3" topLeftCell="A4" activePane="bottomLeft" state="frozen"/>
      <selection pane="bottomLeft" activeCell="C8" sqref="C8"/>
    </sheetView>
  </sheetViews>
  <sheetFormatPr defaultRowHeight="14.4" x14ac:dyDescent="0.3"/>
  <cols>
    <col min="1" max="1" width="32" customWidth="1"/>
    <col min="2" max="3" width="22" customWidth="1"/>
    <col min="4" max="5" width="14" customWidth="1"/>
    <col min="6" max="6" width="36" customWidth="1"/>
  </cols>
  <sheetData>
    <row r="1" spans="1:6" ht="36" customHeight="1" x14ac:dyDescent="0.3">
      <c r="A1" s="98" t="s">
        <v>226</v>
      </c>
      <c r="B1" s="99"/>
      <c r="C1" s="99"/>
      <c r="D1" s="99"/>
      <c r="E1" s="99"/>
      <c r="F1" s="99"/>
    </row>
    <row r="2" spans="1:6" ht="18" customHeight="1" x14ac:dyDescent="0.3">
      <c r="A2" s="104" t="s">
        <v>227</v>
      </c>
      <c r="B2" s="99"/>
      <c r="C2" s="99"/>
      <c r="D2" s="99"/>
      <c r="E2" s="99"/>
      <c r="F2" s="99"/>
    </row>
    <row r="3" spans="1:6" ht="22.05" customHeight="1" x14ac:dyDescent="0.3">
      <c r="A3" s="1" t="s">
        <v>228</v>
      </c>
      <c r="B3" s="1" t="s">
        <v>229</v>
      </c>
      <c r="C3" s="1" t="s">
        <v>230</v>
      </c>
      <c r="D3" s="1" t="s">
        <v>231</v>
      </c>
      <c r="E3" s="1" t="s">
        <v>232</v>
      </c>
      <c r="F3" s="1" t="s">
        <v>233</v>
      </c>
    </row>
    <row r="4" spans="1:6" ht="19.95" customHeight="1" x14ac:dyDescent="0.3">
      <c r="A4" s="3" t="s">
        <v>234</v>
      </c>
      <c r="B4" s="91" t="s">
        <v>235</v>
      </c>
      <c r="C4" s="72" t="s">
        <v>236</v>
      </c>
      <c r="D4" s="92">
        <v>0.9</v>
      </c>
      <c r="E4" s="93" t="s">
        <v>229</v>
      </c>
      <c r="F4" s="4" t="s">
        <v>237</v>
      </c>
    </row>
    <row r="5" spans="1:6" ht="19.95" customHeight="1" x14ac:dyDescent="0.3">
      <c r="A5" s="9" t="s">
        <v>238</v>
      </c>
      <c r="B5" s="94" t="s">
        <v>271</v>
      </c>
      <c r="C5" s="71" t="s">
        <v>272</v>
      </c>
      <c r="D5" s="95">
        <v>0.6</v>
      </c>
      <c r="E5" s="93" t="s">
        <v>229</v>
      </c>
      <c r="F5" s="10" t="s">
        <v>239</v>
      </c>
    </row>
    <row r="6" spans="1:6" ht="19.95" customHeight="1" x14ac:dyDescent="0.3">
      <c r="A6" s="3" t="s">
        <v>240</v>
      </c>
      <c r="B6" s="91" t="s">
        <v>241</v>
      </c>
      <c r="C6" s="72" t="s">
        <v>242</v>
      </c>
      <c r="D6" s="92">
        <v>0.75</v>
      </c>
      <c r="E6" s="96" t="s">
        <v>243</v>
      </c>
      <c r="F6" s="4" t="s">
        <v>244</v>
      </c>
    </row>
    <row r="7" spans="1:6" ht="19.95" customHeight="1" x14ac:dyDescent="0.3">
      <c r="A7" s="9" t="s">
        <v>245</v>
      </c>
      <c r="B7" s="94" t="s">
        <v>246</v>
      </c>
      <c r="C7" s="71" t="s">
        <v>247</v>
      </c>
      <c r="D7" s="95">
        <v>1</v>
      </c>
      <c r="E7" s="96" t="s">
        <v>243</v>
      </c>
      <c r="F7" s="10" t="s">
        <v>248</v>
      </c>
    </row>
    <row r="8" spans="1:6" ht="19.95" customHeight="1" x14ac:dyDescent="0.3">
      <c r="A8" s="3" t="s">
        <v>249</v>
      </c>
      <c r="B8" s="91" t="s">
        <v>250</v>
      </c>
      <c r="C8" s="72" t="s">
        <v>273</v>
      </c>
      <c r="D8" s="92">
        <v>0.95</v>
      </c>
      <c r="E8" s="96" t="s">
        <v>243</v>
      </c>
      <c r="F8" s="4" t="s">
        <v>251</v>
      </c>
    </row>
    <row r="9" spans="1:6" ht="19.95" customHeight="1" x14ac:dyDescent="0.3">
      <c r="A9" s="9" t="s">
        <v>252</v>
      </c>
      <c r="B9" s="94" t="s">
        <v>253</v>
      </c>
      <c r="C9" s="71" t="s">
        <v>254</v>
      </c>
      <c r="D9" s="95">
        <v>1</v>
      </c>
      <c r="E9" s="96" t="s">
        <v>243</v>
      </c>
      <c r="F9" s="10" t="s">
        <v>255</v>
      </c>
    </row>
    <row r="10" spans="1:6" ht="19.95" customHeight="1" x14ac:dyDescent="0.3">
      <c r="A10" s="3" t="s">
        <v>256</v>
      </c>
      <c r="B10" s="91" t="s">
        <v>257</v>
      </c>
      <c r="C10" s="72" t="s">
        <v>258</v>
      </c>
      <c r="D10" s="92">
        <v>0.5</v>
      </c>
      <c r="E10" s="97" t="s">
        <v>259</v>
      </c>
      <c r="F10" s="4" t="s">
        <v>260</v>
      </c>
    </row>
    <row r="11" spans="1:6" ht="19.95" customHeight="1" x14ac:dyDescent="0.3">
      <c r="A11" s="9" t="s">
        <v>261</v>
      </c>
      <c r="B11" s="94" t="s">
        <v>262</v>
      </c>
      <c r="C11" s="71" t="s">
        <v>263</v>
      </c>
      <c r="D11" s="95">
        <v>0.65</v>
      </c>
      <c r="E11" s="96" t="s">
        <v>243</v>
      </c>
      <c r="F11" s="10" t="s">
        <v>264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WBS</vt:lpstr>
      <vt:lpstr>Schedule</vt:lpstr>
      <vt:lpstr>Stakeholders</vt:lpstr>
      <vt:lpstr>Risk Register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Harissa Rania</cp:lastModifiedBy>
  <dcterms:created xsi:type="dcterms:W3CDTF">2026-05-04T03:27:19Z</dcterms:created>
  <dcterms:modified xsi:type="dcterms:W3CDTF">2026-05-04T03:46:14Z</dcterms:modified>
</cp:coreProperties>
</file>